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Option Price Matrix" sheetId="2" state="visible" r:id="rId2"/>
    <sheet xmlns:r="http://schemas.openxmlformats.org/officeDocument/2006/relationships" name="P&amp;L Matrix" sheetId="3" state="visible" r:id="rId3"/>
    <sheet xmlns:r="http://schemas.openxmlformats.org/officeDocument/2006/relationships" name="Combined View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0.00"/>
    <numFmt numFmtId="165" formatCode="mmm d, yyyy"/>
    <numFmt numFmtId="166" formatCode="$#,##0;[Red]($#,##0);-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666666"/>
    </font>
    <font>
      <color rgb="000000FF"/>
    </font>
    <font>
      <i val="1"/>
      <color rgb="00666666"/>
    </font>
    <font>
      <color rgb="0000000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4" fillId="3" borderId="0" pivotButton="0" quotePrefix="0" xfId="0"/>
    <xf numFmtId="0" fontId="5" fillId="0" borderId="0" pivotButton="0" quotePrefix="0" xfId="0"/>
    <xf numFmtId="1" fontId="4" fillId="3" borderId="0" pivotButton="0" quotePrefix="0" xfId="0"/>
    <xf numFmtId="10" fontId="4" fillId="3" borderId="0" pivotButton="0" quotePrefix="0" xfId="0"/>
    <xf numFmtId="165" fontId="4" fillId="3" borderId="0" pivotButton="0" quotePrefix="0" xfId="0"/>
    <xf numFmtId="0" fontId="2" fillId="2" borderId="0" pivotButton="0" quotePrefix="0" xfId="0"/>
    <xf numFmtId="0" fontId="6" fillId="4" borderId="0" applyAlignment="1" pivotButton="0" quotePrefix="0" xfId="0">
      <alignment vertical="top" wrapText="1"/>
    </xf>
    <xf numFmtId="166" fontId="7" fillId="5" borderId="0" pivotButton="0" quotePrefix="0" xfId="0"/>
    <xf numFmtId="164" fontId="7" fillId="5" borderId="0" pivotButton="0" quotePrefix="0" xfId="0"/>
    <xf numFmtId="10" fontId="7" fillId="5" borderId="0" pivotButton="0" quotePrefix="0" xfId="0"/>
    <xf numFmtId="0" fontId="1" fillId="2" borderId="0" pivotButton="0" quotePrefix="0" xfId="0"/>
    <xf numFmtId="9" fontId="4" fillId="3" borderId="0" pivotButton="0" quotePrefix="0" xfId="0"/>
    <xf numFmtId="164" fontId="6" fillId="0" borderId="0" pivotButton="0" quotePrefix="0" xfId="0"/>
    <xf numFmtId="0" fontId="0" fillId="4" borderId="0" applyAlignment="1" pivotButton="0" quotePrefix="0" xfId="0">
      <alignment vertical="top" wrapText="1"/>
    </xf>
    <xf numFmtId="166" fontId="6" fillId="0" borderId="0" pivotButton="0" quotePrefix="0" xfId="0"/>
    <xf numFmtId="0" fontId="6" fillId="0" borderId="0" applyAlignment="1" pivotButton="0" quotePrefix="0" xfId="0">
      <alignment horizontal="center"/>
    </xf>
    <xf numFmtId="164" fontId="4" fillId="3" borderId="0" pivotButton="0" quotePrefix="0" xfId="0"/>
    <xf numFmtId="165" fontId="4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166" fontId="7" fillId="5" borderId="0" pivotButton="0" quotePrefix="0" xfId="0"/>
    <xf numFmtId="164" fontId="7" fillId="5" borderId="0" pivotButton="0" quotePrefix="0" xfId="0"/>
    <xf numFmtId="164" fontId="6" fillId="0" borderId="0" pivotButton="0" quotePrefix="0" xfId="0"/>
    <xf numFmtId="166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B4" authorId="0" shapeId="0">
      <text>
        <t>Observed SPY price from the user-provided Robinhood Legend screenshot on 2026-08-10.</t>
      </text>
    </comment>
    <comment ref="B7" authorId="0" shapeId="0">
      <text>
        <t>Standard options contract multiplier reference: https://robinhood.com/us/en/support/articles/basic-options-strategies/</t>
      </text>
    </comment>
    <comment ref="B8" authorId="0" shapeId="0">
      <text>
        <t>IV assumption is calibrated to the observed option market and then held constant across the matrix. Actual IV can change materially.</t>
      </text>
    </comment>
    <comment ref="B9" authorId="0" shapeId="0">
      <text>
        <t>Approximate short-term Treasury rate. Source: https://home.treasury.gov/resource-center/data-chart-center/interest-rates/TextView?field_tdr_date_value=2026&amp;type=daily_treasury_yield_curve</t>
      </text>
    </comment>
    <comment ref="B13" authorId="0" shapeId="0">
      <text>
        <t>The prior workbook used NORM.S.DIST written by a non-Excel library. Excel can treat that as an unsupported OOXML function token and return #NAME?. This version uses the backward-compatible NORMSDIST function instead.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8" customWidth="1" min="3" max="3"/>
    <col width="68" customWidth="1" min="4" max="4"/>
  </cols>
  <sheetData>
    <row r="1" ht="24" customHeight="1">
      <c r="A1" s="1" t="inlineStr">
        <is>
          <t>SPY Aug. 28, 2026 $750 Put Scenario Model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Units</t>
        </is>
      </c>
      <c r="D3" s="2" t="inlineStr">
        <is>
          <t>Notes / Source</t>
        </is>
      </c>
    </row>
    <row r="4">
      <c r="A4" s="3" t="inlineStr">
        <is>
          <t>Baseline SPY price</t>
        </is>
      </c>
      <c r="B4" s="20" t="n">
        <v>773.73</v>
      </c>
      <c r="C4" s="3" t="inlineStr">
        <is>
          <t>$/share</t>
        </is>
      </c>
      <c r="D4" s="5" t="inlineStr">
        <is>
          <t>From the Robinhood Legend screenshot supplied in chat on Aug. 10, 2026.</t>
        </is>
      </c>
    </row>
    <row r="5">
      <c r="A5" s="3" t="inlineStr">
        <is>
          <t>Put strike</t>
        </is>
      </c>
      <c r="B5" s="20" t="n">
        <v>750</v>
      </c>
      <c r="C5" s="3" t="inlineStr">
        <is>
          <t>$/share</t>
        </is>
      </c>
      <c r="D5" s="5" t="inlineStr">
        <is>
          <t>Selected contract: SPY Aug. 28, 2026 $750 put.</t>
        </is>
      </c>
    </row>
    <row r="6">
      <c r="A6" s="3" t="inlineStr">
        <is>
          <t>Entry premium</t>
        </is>
      </c>
      <c r="B6" s="20" t="n">
        <v>2.1</v>
      </c>
      <c r="C6" s="3" t="inlineStr">
        <is>
          <t>$/share</t>
        </is>
      </c>
      <c r="D6" s="5" t="inlineStr">
        <is>
          <t>Your proposed limit entry; total premium is premium x 100.</t>
        </is>
      </c>
    </row>
    <row r="7">
      <c r="A7" s="3" t="inlineStr">
        <is>
          <t>Contract multiplier</t>
        </is>
      </c>
      <c r="B7" s="6" t="n">
        <v>100</v>
      </c>
      <c r="C7" s="3" t="inlineStr">
        <is>
          <t>shares/contract</t>
        </is>
      </c>
      <c r="D7" s="5" t="inlineStr">
        <is>
          <t>Standard U.S. equity/ETF option multiplier.</t>
        </is>
      </c>
    </row>
    <row r="8">
      <c r="A8" s="3" t="inlineStr">
        <is>
          <t>Implied volatility</t>
        </is>
      </c>
      <c r="B8" s="7" t="n">
        <v>0.1501</v>
      </c>
      <c r="C8" s="3" t="inlineStr">
        <is>
          <t>%</t>
        </is>
      </c>
      <c r="D8" s="5" t="inlineStr">
        <is>
          <t>Approx. constant IV calibrated near the observed ~$2.15 option mark with 18 DTE.</t>
        </is>
      </c>
    </row>
    <row r="9">
      <c r="A9" s="3" t="inlineStr">
        <is>
          <t>Risk-free rate</t>
        </is>
      </c>
      <c r="B9" s="7" t="n">
        <v>0.0379</v>
      </c>
      <c r="C9" s="3" t="inlineStr">
        <is>
          <t>%</t>
        </is>
      </c>
      <c r="D9" s="5" t="inlineStr">
        <is>
          <t>Approx. short-term Treasury rate used for scenario pricing.</t>
        </is>
      </c>
    </row>
    <row r="10">
      <c r="A10" s="3" t="inlineStr">
        <is>
          <t>Expiration date</t>
        </is>
      </c>
      <c r="B10" s="21" t="n">
        <v>46262</v>
      </c>
      <c r="C10" s="3" t="inlineStr">
        <is>
          <t>date</t>
        </is>
      </c>
      <c r="D10" s="5" t="inlineStr">
        <is>
          <t>Contract expiration.</t>
        </is>
      </c>
    </row>
    <row r="11">
      <c r="A11" s="3" t="inlineStr">
        <is>
          <t>Starting DTE</t>
        </is>
      </c>
      <c r="B11" s="6" t="n">
        <v>18</v>
      </c>
      <c r="C11" s="3" t="inlineStr">
        <is>
          <t>calendar days</t>
        </is>
      </c>
      <c r="D11" s="5" t="inlineStr">
        <is>
          <t>Days to expiration from Aug. 10, 2026.</t>
        </is>
      </c>
    </row>
    <row r="13">
      <c r="A13" s="22" t="inlineStr">
        <is>
          <t>Excel compatibility</t>
        </is>
      </c>
      <c r="B13" s="23" t="inlineStr">
        <is>
          <t>Uses legacy NORMSDIST() in pricing formulas to avoid #NAME? errors in Excel.</t>
        </is>
      </c>
    </row>
    <row r="14">
      <c r="A14" s="9" t="inlineStr">
        <is>
          <t>Model methodology</t>
        </is>
      </c>
    </row>
    <row r="15">
      <c r="A15" s="10" t="inlineStr">
        <is>
          <t>Option-price cells use a Black-Scholes European put approximation with constant IV and rate. SPY options are American-style, so real market prices can differ. The model is intended as a scenario guide, not a fill-price forecast.</t>
        </is>
      </c>
    </row>
    <row r="16"/>
    <row r="18">
      <c r="A18" s="9" t="inlineStr">
        <is>
          <t>Key outputs</t>
        </is>
      </c>
    </row>
    <row r="19">
      <c r="A19" t="inlineStr">
        <is>
          <t>Total premium at risk</t>
        </is>
      </c>
      <c r="B19" s="24">
        <f>B6*B7</f>
        <v/>
      </c>
    </row>
    <row r="20">
      <c r="A20" t="inlineStr">
        <is>
          <t>Expiration breakeven</t>
        </is>
      </c>
      <c r="B20" s="25">
        <f>B5-B6</f>
        <v/>
      </c>
    </row>
    <row r="21">
      <c r="A21" t="inlineStr">
        <is>
          <t>Breakeven decline from baseline</t>
        </is>
      </c>
      <c r="B21" s="13">
        <f>1-(B20/B4)</f>
        <v/>
      </c>
    </row>
  </sheetData>
  <mergeCells count="4">
    <mergeCell ref="A1:D1"/>
    <mergeCell ref="A18:D18"/>
    <mergeCell ref="A15:D16"/>
    <mergeCell ref="A14:D1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4" t="inlineStr">
        <is>
          <t>Option Price Matrix</t>
        </is>
      </c>
    </row>
    <row r="2">
      <c r="A2" s="5" t="inlineStr">
        <is>
          <t>Rows = SPY decline from baseline. Columns = calendar days remaining until Aug. 28 expiration.</t>
        </is>
      </c>
    </row>
    <row r="3">
      <c r="A3" s="2" t="inlineStr">
        <is>
          <t>SPY Drop</t>
        </is>
      </c>
      <c r="B3" s="2" t="inlineStr">
        <is>
          <t>SPY Price</t>
        </is>
      </c>
      <c r="C3" s="2" t="inlineStr">
        <is>
          <t>18D</t>
        </is>
      </c>
      <c r="D3" s="2" t="inlineStr">
        <is>
          <t>17D</t>
        </is>
      </c>
      <c r="E3" s="2" t="inlineStr">
        <is>
          <t>16D</t>
        </is>
      </c>
      <c r="F3" s="2" t="inlineStr">
        <is>
          <t>15D</t>
        </is>
      </c>
      <c r="G3" s="2" t="inlineStr">
        <is>
          <t>14D</t>
        </is>
      </c>
      <c r="H3" s="2" t="inlineStr">
        <is>
          <t>13D</t>
        </is>
      </c>
      <c r="I3" s="2" t="inlineStr">
        <is>
          <t>12D</t>
        </is>
      </c>
      <c r="J3" s="2" t="inlineStr">
        <is>
          <t>11D</t>
        </is>
      </c>
      <c r="K3" s="2" t="inlineStr">
        <is>
          <t>10D</t>
        </is>
      </c>
      <c r="L3" s="2" t="inlineStr">
        <is>
          <t>9D</t>
        </is>
      </c>
      <c r="M3" s="2" t="inlineStr">
        <is>
          <t>8D</t>
        </is>
      </c>
      <c r="N3" s="2" t="inlineStr">
        <is>
          <t>7D</t>
        </is>
      </c>
      <c r="O3" s="2" t="inlineStr">
        <is>
          <t>6D</t>
        </is>
      </c>
      <c r="P3" s="2" t="inlineStr">
        <is>
          <t>5D</t>
        </is>
      </c>
      <c r="Q3" s="2" t="inlineStr">
        <is>
          <t>4D</t>
        </is>
      </c>
      <c r="R3" s="2" t="inlineStr">
        <is>
          <t>3D</t>
        </is>
      </c>
      <c r="S3" s="2" t="inlineStr">
        <is>
          <t>2D</t>
        </is>
      </c>
      <c r="T3" s="2" t="inlineStr">
        <is>
          <t>1D</t>
        </is>
      </c>
      <c r="U3" s="2" t="inlineStr">
        <is>
          <t>0D</t>
        </is>
      </c>
    </row>
    <row r="4" ht="22" customHeight="1">
      <c r="A4" s="15" t="n">
        <v>0.01</v>
      </c>
      <c r="B4" s="26">
        <f>'Assumptions'!$B$4*(1-A4)</f>
        <v/>
      </c>
      <c r="C4" s="26">
        <f>IF(C$24=0,MAX('Assumptions'!$B$5-$B4,0),'Assumptions'!$B$5*EXP(-'Assumptions'!$B$9*(C$24/365))*NORMSDIST(-(((LN($B4/'Assumptions'!$B$5)+('Assumptions'!$B$9+0.5*'Assumptions'!$B$8^2)*(C$24/365))/('Assumptions'!$B$8*SQRT((C$24/365))))-'Assumptions'!$B$8*SQRT((C$24/365))))-$B4*NORMSDIST(-((LN($B4/'Assumptions'!$B$5)+('Assumptions'!$B$9+0.5*'Assumptions'!$B$8^2)*(C$24/365))/('Assumptions'!$B$8*SQRT((C$24/365))))))</f>
        <v/>
      </c>
      <c r="D4" s="26">
        <f>IF(D$24=0,MAX('Assumptions'!$B$5-$B4,0),'Assumptions'!$B$5*EXP(-'Assumptions'!$B$9*(D$24/365))*NORMSDIST(-(((LN($B4/'Assumptions'!$B$5)+('Assumptions'!$B$9+0.5*'Assumptions'!$B$8^2)*(D$24/365))/('Assumptions'!$B$8*SQRT((D$24/365))))-'Assumptions'!$B$8*SQRT((D$24/365))))-$B4*NORMSDIST(-((LN($B4/'Assumptions'!$B$5)+('Assumptions'!$B$9+0.5*'Assumptions'!$B$8^2)*(D$24/365))/('Assumptions'!$B$8*SQRT((D$24/365))))))</f>
        <v/>
      </c>
      <c r="E4" s="26">
        <f>IF(E$24=0,MAX('Assumptions'!$B$5-$B4,0),'Assumptions'!$B$5*EXP(-'Assumptions'!$B$9*(E$24/365))*NORMSDIST(-(((LN($B4/'Assumptions'!$B$5)+('Assumptions'!$B$9+0.5*'Assumptions'!$B$8^2)*(E$24/365))/('Assumptions'!$B$8*SQRT((E$24/365))))-'Assumptions'!$B$8*SQRT((E$24/365))))-$B4*NORMSDIST(-((LN($B4/'Assumptions'!$B$5)+('Assumptions'!$B$9+0.5*'Assumptions'!$B$8^2)*(E$24/365))/('Assumptions'!$B$8*SQRT((E$24/365))))))</f>
        <v/>
      </c>
      <c r="F4" s="26">
        <f>IF(F$24=0,MAX('Assumptions'!$B$5-$B4,0),'Assumptions'!$B$5*EXP(-'Assumptions'!$B$9*(F$24/365))*NORMSDIST(-(((LN($B4/'Assumptions'!$B$5)+('Assumptions'!$B$9+0.5*'Assumptions'!$B$8^2)*(F$24/365))/('Assumptions'!$B$8*SQRT((F$24/365))))-'Assumptions'!$B$8*SQRT((F$24/365))))-$B4*NORMSDIST(-((LN($B4/'Assumptions'!$B$5)+('Assumptions'!$B$9+0.5*'Assumptions'!$B$8^2)*(F$24/365))/('Assumptions'!$B$8*SQRT((F$24/365))))))</f>
        <v/>
      </c>
      <c r="G4" s="26">
        <f>IF(G$24=0,MAX('Assumptions'!$B$5-$B4,0),'Assumptions'!$B$5*EXP(-'Assumptions'!$B$9*(G$24/365))*NORMSDIST(-(((LN($B4/'Assumptions'!$B$5)+('Assumptions'!$B$9+0.5*'Assumptions'!$B$8^2)*(G$24/365))/('Assumptions'!$B$8*SQRT((G$24/365))))-'Assumptions'!$B$8*SQRT((G$24/365))))-$B4*NORMSDIST(-((LN($B4/'Assumptions'!$B$5)+('Assumptions'!$B$9+0.5*'Assumptions'!$B$8^2)*(G$24/365))/('Assumptions'!$B$8*SQRT((G$24/365))))))</f>
        <v/>
      </c>
      <c r="H4" s="26">
        <f>IF(H$24=0,MAX('Assumptions'!$B$5-$B4,0),'Assumptions'!$B$5*EXP(-'Assumptions'!$B$9*(H$24/365))*NORMSDIST(-(((LN($B4/'Assumptions'!$B$5)+('Assumptions'!$B$9+0.5*'Assumptions'!$B$8^2)*(H$24/365))/('Assumptions'!$B$8*SQRT((H$24/365))))-'Assumptions'!$B$8*SQRT((H$24/365))))-$B4*NORMSDIST(-((LN($B4/'Assumptions'!$B$5)+('Assumptions'!$B$9+0.5*'Assumptions'!$B$8^2)*(H$24/365))/('Assumptions'!$B$8*SQRT((H$24/365))))))</f>
        <v/>
      </c>
      <c r="I4" s="26">
        <f>IF(I$24=0,MAX('Assumptions'!$B$5-$B4,0),'Assumptions'!$B$5*EXP(-'Assumptions'!$B$9*(I$24/365))*NORMSDIST(-(((LN($B4/'Assumptions'!$B$5)+('Assumptions'!$B$9+0.5*'Assumptions'!$B$8^2)*(I$24/365))/('Assumptions'!$B$8*SQRT((I$24/365))))-'Assumptions'!$B$8*SQRT((I$24/365))))-$B4*NORMSDIST(-((LN($B4/'Assumptions'!$B$5)+('Assumptions'!$B$9+0.5*'Assumptions'!$B$8^2)*(I$24/365))/('Assumptions'!$B$8*SQRT((I$24/365))))))</f>
        <v/>
      </c>
      <c r="J4" s="26">
        <f>IF(J$24=0,MAX('Assumptions'!$B$5-$B4,0),'Assumptions'!$B$5*EXP(-'Assumptions'!$B$9*(J$24/365))*NORMSDIST(-(((LN($B4/'Assumptions'!$B$5)+('Assumptions'!$B$9+0.5*'Assumptions'!$B$8^2)*(J$24/365))/('Assumptions'!$B$8*SQRT((J$24/365))))-'Assumptions'!$B$8*SQRT((J$24/365))))-$B4*NORMSDIST(-((LN($B4/'Assumptions'!$B$5)+('Assumptions'!$B$9+0.5*'Assumptions'!$B$8^2)*(J$24/365))/('Assumptions'!$B$8*SQRT((J$24/365))))))</f>
        <v/>
      </c>
      <c r="K4" s="26">
        <f>IF(K$24=0,MAX('Assumptions'!$B$5-$B4,0),'Assumptions'!$B$5*EXP(-'Assumptions'!$B$9*(K$24/365))*NORMSDIST(-(((LN($B4/'Assumptions'!$B$5)+('Assumptions'!$B$9+0.5*'Assumptions'!$B$8^2)*(K$24/365))/('Assumptions'!$B$8*SQRT((K$24/365))))-'Assumptions'!$B$8*SQRT((K$24/365))))-$B4*NORMSDIST(-((LN($B4/'Assumptions'!$B$5)+('Assumptions'!$B$9+0.5*'Assumptions'!$B$8^2)*(K$24/365))/('Assumptions'!$B$8*SQRT((K$24/365))))))</f>
        <v/>
      </c>
      <c r="L4" s="26">
        <f>IF(L$24=0,MAX('Assumptions'!$B$5-$B4,0),'Assumptions'!$B$5*EXP(-'Assumptions'!$B$9*(L$24/365))*NORMSDIST(-(((LN($B4/'Assumptions'!$B$5)+('Assumptions'!$B$9+0.5*'Assumptions'!$B$8^2)*(L$24/365))/('Assumptions'!$B$8*SQRT((L$24/365))))-'Assumptions'!$B$8*SQRT((L$24/365))))-$B4*NORMSDIST(-((LN($B4/'Assumptions'!$B$5)+('Assumptions'!$B$9+0.5*'Assumptions'!$B$8^2)*(L$24/365))/('Assumptions'!$B$8*SQRT((L$24/365))))))</f>
        <v/>
      </c>
      <c r="M4" s="26">
        <f>IF(M$24=0,MAX('Assumptions'!$B$5-$B4,0),'Assumptions'!$B$5*EXP(-'Assumptions'!$B$9*(M$24/365))*NORMSDIST(-(((LN($B4/'Assumptions'!$B$5)+('Assumptions'!$B$9+0.5*'Assumptions'!$B$8^2)*(M$24/365))/('Assumptions'!$B$8*SQRT((M$24/365))))-'Assumptions'!$B$8*SQRT((M$24/365))))-$B4*NORMSDIST(-((LN($B4/'Assumptions'!$B$5)+('Assumptions'!$B$9+0.5*'Assumptions'!$B$8^2)*(M$24/365))/('Assumptions'!$B$8*SQRT((M$24/365))))))</f>
        <v/>
      </c>
      <c r="N4" s="26">
        <f>IF(N$24=0,MAX('Assumptions'!$B$5-$B4,0),'Assumptions'!$B$5*EXP(-'Assumptions'!$B$9*(N$24/365))*NORMSDIST(-(((LN($B4/'Assumptions'!$B$5)+('Assumptions'!$B$9+0.5*'Assumptions'!$B$8^2)*(N$24/365))/('Assumptions'!$B$8*SQRT((N$24/365))))-'Assumptions'!$B$8*SQRT((N$24/365))))-$B4*NORMSDIST(-((LN($B4/'Assumptions'!$B$5)+('Assumptions'!$B$9+0.5*'Assumptions'!$B$8^2)*(N$24/365))/('Assumptions'!$B$8*SQRT((N$24/365))))))</f>
        <v/>
      </c>
      <c r="O4" s="26">
        <f>IF(O$24=0,MAX('Assumptions'!$B$5-$B4,0),'Assumptions'!$B$5*EXP(-'Assumptions'!$B$9*(O$24/365))*NORMSDIST(-(((LN($B4/'Assumptions'!$B$5)+('Assumptions'!$B$9+0.5*'Assumptions'!$B$8^2)*(O$24/365))/('Assumptions'!$B$8*SQRT((O$24/365))))-'Assumptions'!$B$8*SQRT((O$24/365))))-$B4*NORMSDIST(-((LN($B4/'Assumptions'!$B$5)+('Assumptions'!$B$9+0.5*'Assumptions'!$B$8^2)*(O$24/365))/('Assumptions'!$B$8*SQRT((O$24/365))))))</f>
        <v/>
      </c>
      <c r="P4" s="26">
        <f>IF(P$24=0,MAX('Assumptions'!$B$5-$B4,0),'Assumptions'!$B$5*EXP(-'Assumptions'!$B$9*(P$24/365))*NORMSDIST(-(((LN($B4/'Assumptions'!$B$5)+('Assumptions'!$B$9+0.5*'Assumptions'!$B$8^2)*(P$24/365))/('Assumptions'!$B$8*SQRT((P$24/365))))-'Assumptions'!$B$8*SQRT((P$24/365))))-$B4*NORMSDIST(-((LN($B4/'Assumptions'!$B$5)+('Assumptions'!$B$9+0.5*'Assumptions'!$B$8^2)*(P$24/365))/('Assumptions'!$B$8*SQRT((P$24/365))))))</f>
        <v/>
      </c>
      <c r="Q4" s="26">
        <f>IF(Q$24=0,MAX('Assumptions'!$B$5-$B4,0),'Assumptions'!$B$5*EXP(-'Assumptions'!$B$9*(Q$24/365))*NORMSDIST(-(((LN($B4/'Assumptions'!$B$5)+('Assumptions'!$B$9+0.5*'Assumptions'!$B$8^2)*(Q$24/365))/('Assumptions'!$B$8*SQRT((Q$24/365))))-'Assumptions'!$B$8*SQRT((Q$24/365))))-$B4*NORMSDIST(-((LN($B4/'Assumptions'!$B$5)+('Assumptions'!$B$9+0.5*'Assumptions'!$B$8^2)*(Q$24/365))/('Assumptions'!$B$8*SQRT((Q$24/365))))))</f>
        <v/>
      </c>
      <c r="R4" s="26">
        <f>IF(R$24=0,MAX('Assumptions'!$B$5-$B4,0),'Assumptions'!$B$5*EXP(-'Assumptions'!$B$9*(R$24/365))*NORMSDIST(-(((LN($B4/'Assumptions'!$B$5)+('Assumptions'!$B$9+0.5*'Assumptions'!$B$8^2)*(R$24/365))/('Assumptions'!$B$8*SQRT((R$24/365))))-'Assumptions'!$B$8*SQRT((R$24/365))))-$B4*NORMSDIST(-((LN($B4/'Assumptions'!$B$5)+('Assumptions'!$B$9+0.5*'Assumptions'!$B$8^2)*(R$24/365))/('Assumptions'!$B$8*SQRT((R$24/365))))))</f>
        <v/>
      </c>
      <c r="S4" s="26">
        <f>IF(S$24=0,MAX('Assumptions'!$B$5-$B4,0),'Assumptions'!$B$5*EXP(-'Assumptions'!$B$9*(S$24/365))*NORMSDIST(-(((LN($B4/'Assumptions'!$B$5)+('Assumptions'!$B$9+0.5*'Assumptions'!$B$8^2)*(S$24/365))/('Assumptions'!$B$8*SQRT((S$24/365))))-'Assumptions'!$B$8*SQRT((S$24/365))))-$B4*NORMSDIST(-((LN($B4/'Assumptions'!$B$5)+('Assumptions'!$B$9+0.5*'Assumptions'!$B$8^2)*(S$24/365))/('Assumptions'!$B$8*SQRT((S$24/365))))))</f>
        <v/>
      </c>
      <c r="T4" s="26">
        <f>IF(T$24=0,MAX('Assumptions'!$B$5-$B4,0),'Assumptions'!$B$5*EXP(-'Assumptions'!$B$9*(T$24/365))*NORMSDIST(-(((LN($B4/'Assumptions'!$B$5)+('Assumptions'!$B$9+0.5*'Assumptions'!$B$8^2)*(T$24/365))/('Assumptions'!$B$8*SQRT((T$24/365))))-'Assumptions'!$B$8*SQRT((T$24/365))))-$B4*NORMSDIST(-((LN($B4/'Assumptions'!$B$5)+('Assumptions'!$B$9+0.5*'Assumptions'!$B$8^2)*(T$24/365))/('Assumptions'!$B$8*SQRT((T$24/365))))))</f>
        <v/>
      </c>
      <c r="U4" s="26">
        <f>IF(U$24=0,MAX('Assumptions'!$B$5-$B4,0),'Assumptions'!$B$5*EXP(-'Assumptions'!$B$9*(U$24/365))*NORMSDIST(-(((LN($B4/'Assumptions'!$B$5)+('Assumptions'!$B$9+0.5*'Assumptions'!$B$8^2)*(U$24/365))/('Assumptions'!$B$8*SQRT((U$24/365))))-'Assumptions'!$B$8*SQRT((U$24/365))))-$B4*NORMSDIST(-((LN($B4/'Assumptions'!$B$5)+('Assumptions'!$B$9+0.5*'Assumptions'!$B$8^2)*(U$24/365))/('Assumptions'!$B$8*SQRT((U$24/365))))))</f>
        <v/>
      </c>
    </row>
    <row r="5" ht="22" customHeight="1">
      <c r="A5" s="15" t="n">
        <v>0.02</v>
      </c>
      <c r="B5" s="26">
        <f>'Assumptions'!$B$4*(1-A5)</f>
        <v/>
      </c>
      <c r="C5" s="26">
        <f>IF(C$24=0,MAX('Assumptions'!$B$5-$B5,0),'Assumptions'!$B$5*EXP(-'Assumptions'!$B$9*(C$24/365))*NORMSDIST(-(((LN($B5/'Assumptions'!$B$5)+('Assumptions'!$B$9+0.5*'Assumptions'!$B$8^2)*(C$24/365))/('Assumptions'!$B$8*SQRT((C$24/365))))-'Assumptions'!$B$8*SQRT((C$24/365))))-$B5*NORMSDIST(-((LN($B5/'Assumptions'!$B$5)+('Assumptions'!$B$9+0.5*'Assumptions'!$B$8^2)*(C$24/365))/('Assumptions'!$B$8*SQRT((C$24/365))))))</f>
        <v/>
      </c>
      <c r="D5" s="26">
        <f>IF(D$24=0,MAX('Assumptions'!$B$5-$B5,0),'Assumptions'!$B$5*EXP(-'Assumptions'!$B$9*(D$24/365))*NORMSDIST(-(((LN($B5/'Assumptions'!$B$5)+('Assumptions'!$B$9+0.5*'Assumptions'!$B$8^2)*(D$24/365))/('Assumptions'!$B$8*SQRT((D$24/365))))-'Assumptions'!$B$8*SQRT((D$24/365))))-$B5*NORMSDIST(-((LN($B5/'Assumptions'!$B$5)+('Assumptions'!$B$9+0.5*'Assumptions'!$B$8^2)*(D$24/365))/('Assumptions'!$B$8*SQRT((D$24/365))))))</f>
        <v/>
      </c>
      <c r="E5" s="26">
        <f>IF(E$24=0,MAX('Assumptions'!$B$5-$B5,0),'Assumptions'!$B$5*EXP(-'Assumptions'!$B$9*(E$24/365))*NORMSDIST(-(((LN($B5/'Assumptions'!$B$5)+('Assumptions'!$B$9+0.5*'Assumptions'!$B$8^2)*(E$24/365))/('Assumptions'!$B$8*SQRT((E$24/365))))-'Assumptions'!$B$8*SQRT((E$24/365))))-$B5*NORMSDIST(-((LN($B5/'Assumptions'!$B$5)+('Assumptions'!$B$9+0.5*'Assumptions'!$B$8^2)*(E$24/365))/('Assumptions'!$B$8*SQRT((E$24/365))))))</f>
        <v/>
      </c>
      <c r="F5" s="26">
        <f>IF(F$24=0,MAX('Assumptions'!$B$5-$B5,0),'Assumptions'!$B$5*EXP(-'Assumptions'!$B$9*(F$24/365))*NORMSDIST(-(((LN($B5/'Assumptions'!$B$5)+('Assumptions'!$B$9+0.5*'Assumptions'!$B$8^2)*(F$24/365))/('Assumptions'!$B$8*SQRT((F$24/365))))-'Assumptions'!$B$8*SQRT((F$24/365))))-$B5*NORMSDIST(-((LN($B5/'Assumptions'!$B$5)+('Assumptions'!$B$9+0.5*'Assumptions'!$B$8^2)*(F$24/365))/('Assumptions'!$B$8*SQRT((F$24/365))))))</f>
        <v/>
      </c>
      <c r="G5" s="26">
        <f>IF(G$24=0,MAX('Assumptions'!$B$5-$B5,0),'Assumptions'!$B$5*EXP(-'Assumptions'!$B$9*(G$24/365))*NORMSDIST(-(((LN($B5/'Assumptions'!$B$5)+('Assumptions'!$B$9+0.5*'Assumptions'!$B$8^2)*(G$24/365))/('Assumptions'!$B$8*SQRT((G$24/365))))-'Assumptions'!$B$8*SQRT((G$24/365))))-$B5*NORMSDIST(-((LN($B5/'Assumptions'!$B$5)+('Assumptions'!$B$9+0.5*'Assumptions'!$B$8^2)*(G$24/365))/('Assumptions'!$B$8*SQRT((G$24/365))))))</f>
        <v/>
      </c>
      <c r="H5" s="26">
        <f>IF(H$24=0,MAX('Assumptions'!$B$5-$B5,0),'Assumptions'!$B$5*EXP(-'Assumptions'!$B$9*(H$24/365))*NORMSDIST(-(((LN($B5/'Assumptions'!$B$5)+('Assumptions'!$B$9+0.5*'Assumptions'!$B$8^2)*(H$24/365))/('Assumptions'!$B$8*SQRT((H$24/365))))-'Assumptions'!$B$8*SQRT((H$24/365))))-$B5*NORMSDIST(-((LN($B5/'Assumptions'!$B$5)+('Assumptions'!$B$9+0.5*'Assumptions'!$B$8^2)*(H$24/365))/('Assumptions'!$B$8*SQRT((H$24/365))))))</f>
        <v/>
      </c>
      <c r="I5" s="26">
        <f>IF(I$24=0,MAX('Assumptions'!$B$5-$B5,0),'Assumptions'!$B$5*EXP(-'Assumptions'!$B$9*(I$24/365))*NORMSDIST(-(((LN($B5/'Assumptions'!$B$5)+('Assumptions'!$B$9+0.5*'Assumptions'!$B$8^2)*(I$24/365))/('Assumptions'!$B$8*SQRT((I$24/365))))-'Assumptions'!$B$8*SQRT((I$24/365))))-$B5*NORMSDIST(-((LN($B5/'Assumptions'!$B$5)+('Assumptions'!$B$9+0.5*'Assumptions'!$B$8^2)*(I$24/365))/('Assumptions'!$B$8*SQRT((I$24/365))))))</f>
        <v/>
      </c>
      <c r="J5" s="26">
        <f>IF(J$24=0,MAX('Assumptions'!$B$5-$B5,0),'Assumptions'!$B$5*EXP(-'Assumptions'!$B$9*(J$24/365))*NORMSDIST(-(((LN($B5/'Assumptions'!$B$5)+('Assumptions'!$B$9+0.5*'Assumptions'!$B$8^2)*(J$24/365))/('Assumptions'!$B$8*SQRT((J$24/365))))-'Assumptions'!$B$8*SQRT((J$24/365))))-$B5*NORMSDIST(-((LN($B5/'Assumptions'!$B$5)+('Assumptions'!$B$9+0.5*'Assumptions'!$B$8^2)*(J$24/365))/('Assumptions'!$B$8*SQRT((J$24/365))))))</f>
        <v/>
      </c>
      <c r="K5" s="26">
        <f>IF(K$24=0,MAX('Assumptions'!$B$5-$B5,0),'Assumptions'!$B$5*EXP(-'Assumptions'!$B$9*(K$24/365))*NORMSDIST(-(((LN($B5/'Assumptions'!$B$5)+('Assumptions'!$B$9+0.5*'Assumptions'!$B$8^2)*(K$24/365))/('Assumptions'!$B$8*SQRT((K$24/365))))-'Assumptions'!$B$8*SQRT((K$24/365))))-$B5*NORMSDIST(-((LN($B5/'Assumptions'!$B$5)+('Assumptions'!$B$9+0.5*'Assumptions'!$B$8^2)*(K$24/365))/('Assumptions'!$B$8*SQRT((K$24/365))))))</f>
        <v/>
      </c>
      <c r="L5" s="26">
        <f>IF(L$24=0,MAX('Assumptions'!$B$5-$B5,0),'Assumptions'!$B$5*EXP(-'Assumptions'!$B$9*(L$24/365))*NORMSDIST(-(((LN($B5/'Assumptions'!$B$5)+('Assumptions'!$B$9+0.5*'Assumptions'!$B$8^2)*(L$24/365))/('Assumptions'!$B$8*SQRT((L$24/365))))-'Assumptions'!$B$8*SQRT((L$24/365))))-$B5*NORMSDIST(-((LN($B5/'Assumptions'!$B$5)+('Assumptions'!$B$9+0.5*'Assumptions'!$B$8^2)*(L$24/365))/('Assumptions'!$B$8*SQRT((L$24/365))))))</f>
        <v/>
      </c>
      <c r="M5" s="26">
        <f>IF(M$24=0,MAX('Assumptions'!$B$5-$B5,0),'Assumptions'!$B$5*EXP(-'Assumptions'!$B$9*(M$24/365))*NORMSDIST(-(((LN($B5/'Assumptions'!$B$5)+('Assumptions'!$B$9+0.5*'Assumptions'!$B$8^2)*(M$24/365))/('Assumptions'!$B$8*SQRT((M$24/365))))-'Assumptions'!$B$8*SQRT((M$24/365))))-$B5*NORMSDIST(-((LN($B5/'Assumptions'!$B$5)+('Assumptions'!$B$9+0.5*'Assumptions'!$B$8^2)*(M$24/365))/('Assumptions'!$B$8*SQRT((M$24/365))))))</f>
        <v/>
      </c>
      <c r="N5" s="26">
        <f>IF(N$24=0,MAX('Assumptions'!$B$5-$B5,0),'Assumptions'!$B$5*EXP(-'Assumptions'!$B$9*(N$24/365))*NORMSDIST(-(((LN($B5/'Assumptions'!$B$5)+('Assumptions'!$B$9+0.5*'Assumptions'!$B$8^2)*(N$24/365))/('Assumptions'!$B$8*SQRT((N$24/365))))-'Assumptions'!$B$8*SQRT((N$24/365))))-$B5*NORMSDIST(-((LN($B5/'Assumptions'!$B$5)+('Assumptions'!$B$9+0.5*'Assumptions'!$B$8^2)*(N$24/365))/('Assumptions'!$B$8*SQRT((N$24/365))))))</f>
        <v/>
      </c>
      <c r="O5" s="26">
        <f>IF(O$24=0,MAX('Assumptions'!$B$5-$B5,0),'Assumptions'!$B$5*EXP(-'Assumptions'!$B$9*(O$24/365))*NORMSDIST(-(((LN($B5/'Assumptions'!$B$5)+('Assumptions'!$B$9+0.5*'Assumptions'!$B$8^2)*(O$24/365))/('Assumptions'!$B$8*SQRT((O$24/365))))-'Assumptions'!$B$8*SQRT((O$24/365))))-$B5*NORMSDIST(-((LN($B5/'Assumptions'!$B$5)+('Assumptions'!$B$9+0.5*'Assumptions'!$B$8^2)*(O$24/365))/('Assumptions'!$B$8*SQRT((O$24/365))))))</f>
        <v/>
      </c>
      <c r="P5" s="26">
        <f>IF(P$24=0,MAX('Assumptions'!$B$5-$B5,0),'Assumptions'!$B$5*EXP(-'Assumptions'!$B$9*(P$24/365))*NORMSDIST(-(((LN($B5/'Assumptions'!$B$5)+('Assumptions'!$B$9+0.5*'Assumptions'!$B$8^2)*(P$24/365))/('Assumptions'!$B$8*SQRT((P$24/365))))-'Assumptions'!$B$8*SQRT((P$24/365))))-$B5*NORMSDIST(-((LN($B5/'Assumptions'!$B$5)+('Assumptions'!$B$9+0.5*'Assumptions'!$B$8^2)*(P$24/365))/('Assumptions'!$B$8*SQRT((P$24/365))))))</f>
        <v/>
      </c>
      <c r="Q5" s="26">
        <f>IF(Q$24=0,MAX('Assumptions'!$B$5-$B5,0),'Assumptions'!$B$5*EXP(-'Assumptions'!$B$9*(Q$24/365))*NORMSDIST(-(((LN($B5/'Assumptions'!$B$5)+('Assumptions'!$B$9+0.5*'Assumptions'!$B$8^2)*(Q$24/365))/('Assumptions'!$B$8*SQRT((Q$24/365))))-'Assumptions'!$B$8*SQRT((Q$24/365))))-$B5*NORMSDIST(-((LN($B5/'Assumptions'!$B$5)+('Assumptions'!$B$9+0.5*'Assumptions'!$B$8^2)*(Q$24/365))/('Assumptions'!$B$8*SQRT((Q$24/365))))))</f>
        <v/>
      </c>
      <c r="R5" s="26">
        <f>IF(R$24=0,MAX('Assumptions'!$B$5-$B5,0),'Assumptions'!$B$5*EXP(-'Assumptions'!$B$9*(R$24/365))*NORMSDIST(-(((LN($B5/'Assumptions'!$B$5)+('Assumptions'!$B$9+0.5*'Assumptions'!$B$8^2)*(R$24/365))/('Assumptions'!$B$8*SQRT((R$24/365))))-'Assumptions'!$B$8*SQRT((R$24/365))))-$B5*NORMSDIST(-((LN($B5/'Assumptions'!$B$5)+('Assumptions'!$B$9+0.5*'Assumptions'!$B$8^2)*(R$24/365))/('Assumptions'!$B$8*SQRT((R$24/365))))))</f>
        <v/>
      </c>
      <c r="S5" s="26">
        <f>IF(S$24=0,MAX('Assumptions'!$B$5-$B5,0),'Assumptions'!$B$5*EXP(-'Assumptions'!$B$9*(S$24/365))*NORMSDIST(-(((LN($B5/'Assumptions'!$B$5)+('Assumptions'!$B$9+0.5*'Assumptions'!$B$8^2)*(S$24/365))/('Assumptions'!$B$8*SQRT((S$24/365))))-'Assumptions'!$B$8*SQRT((S$24/365))))-$B5*NORMSDIST(-((LN($B5/'Assumptions'!$B$5)+('Assumptions'!$B$9+0.5*'Assumptions'!$B$8^2)*(S$24/365))/('Assumptions'!$B$8*SQRT((S$24/365))))))</f>
        <v/>
      </c>
      <c r="T5" s="26">
        <f>IF(T$24=0,MAX('Assumptions'!$B$5-$B5,0),'Assumptions'!$B$5*EXP(-'Assumptions'!$B$9*(T$24/365))*NORMSDIST(-(((LN($B5/'Assumptions'!$B$5)+('Assumptions'!$B$9+0.5*'Assumptions'!$B$8^2)*(T$24/365))/('Assumptions'!$B$8*SQRT((T$24/365))))-'Assumptions'!$B$8*SQRT((T$24/365))))-$B5*NORMSDIST(-((LN($B5/'Assumptions'!$B$5)+('Assumptions'!$B$9+0.5*'Assumptions'!$B$8^2)*(T$24/365))/('Assumptions'!$B$8*SQRT((T$24/365))))))</f>
        <v/>
      </c>
      <c r="U5" s="26">
        <f>IF(U$24=0,MAX('Assumptions'!$B$5-$B5,0),'Assumptions'!$B$5*EXP(-'Assumptions'!$B$9*(U$24/365))*NORMSDIST(-(((LN($B5/'Assumptions'!$B$5)+('Assumptions'!$B$9+0.5*'Assumptions'!$B$8^2)*(U$24/365))/('Assumptions'!$B$8*SQRT((U$24/365))))-'Assumptions'!$B$8*SQRT((U$24/365))))-$B5*NORMSDIST(-((LN($B5/'Assumptions'!$B$5)+('Assumptions'!$B$9+0.5*'Assumptions'!$B$8^2)*(U$24/365))/('Assumptions'!$B$8*SQRT((U$24/365))))))</f>
        <v/>
      </c>
    </row>
    <row r="6" ht="22" customHeight="1">
      <c r="A6" s="15" t="n">
        <v>0.03</v>
      </c>
      <c r="B6" s="26">
        <f>'Assumptions'!$B$4*(1-A6)</f>
        <v/>
      </c>
      <c r="C6" s="26">
        <f>IF(C$24=0,MAX('Assumptions'!$B$5-$B6,0),'Assumptions'!$B$5*EXP(-'Assumptions'!$B$9*(C$24/365))*NORMSDIST(-(((LN($B6/'Assumptions'!$B$5)+('Assumptions'!$B$9+0.5*'Assumptions'!$B$8^2)*(C$24/365))/('Assumptions'!$B$8*SQRT((C$24/365))))-'Assumptions'!$B$8*SQRT((C$24/365))))-$B6*NORMSDIST(-((LN($B6/'Assumptions'!$B$5)+('Assumptions'!$B$9+0.5*'Assumptions'!$B$8^2)*(C$24/365))/('Assumptions'!$B$8*SQRT((C$24/365))))))</f>
        <v/>
      </c>
      <c r="D6" s="26">
        <f>IF(D$24=0,MAX('Assumptions'!$B$5-$B6,0),'Assumptions'!$B$5*EXP(-'Assumptions'!$B$9*(D$24/365))*NORMSDIST(-(((LN($B6/'Assumptions'!$B$5)+('Assumptions'!$B$9+0.5*'Assumptions'!$B$8^2)*(D$24/365))/('Assumptions'!$B$8*SQRT((D$24/365))))-'Assumptions'!$B$8*SQRT((D$24/365))))-$B6*NORMSDIST(-((LN($B6/'Assumptions'!$B$5)+('Assumptions'!$B$9+0.5*'Assumptions'!$B$8^2)*(D$24/365))/('Assumptions'!$B$8*SQRT((D$24/365))))))</f>
        <v/>
      </c>
      <c r="E6" s="26">
        <f>IF(E$24=0,MAX('Assumptions'!$B$5-$B6,0),'Assumptions'!$B$5*EXP(-'Assumptions'!$B$9*(E$24/365))*NORMSDIST(-(((LN($B6/'Assumptions'!$B$5)+('Assumptions'!$B$9+0.5*'Assumptions'!$B$8^2)*(E$24/365))/('Assumptions'!$B$8*SQRT((E$24/365))))-'Assumptions'!$B$8*SQRT((E$24/365))))-$B6*NORMSDIST(-((LN($B6/'Assumptions'!$B$5)+('Assumptions'!$B$9+0.5*'Assumptions'!$B$8^2)*(E$24/365))/('Assumptions'!$B$8*SQRT((E$24/365))))))</f>
        <v/>
      </c>
      <c r="F6" s="26">
        <f>IF(F$24=0,MAX('Assumptions'!$B$5-$B6,0),'Assumptions'!$B$5*EXP(-'Assumptions'!$B$9*(F$24/365))*NORMSDIST(-(((LN($B6/'Assumptions'!$B$5)+('Assumptions'!$B$9+0.5*'Assumptions'!$B$8^2)*(F$24/365))/('Assumptions'!$B$8*SQRT((F$24/365))))-'Assumptions'!$B$8*SQRT((F$24/365))))-$B6*NORMSDIST(-((LN($B6/'Assumptions'!$B$5)+('Assumptions'!$B$9+0.5*'Assumptions'!$B$8^2)*(F$24/365))/('Assumptions'!$B$8*SQRT((F$24/365))))))</f>
        <v/>
      </c>
      <c r="G6" s="26">
        <f>IF(G$24=0,MAX('Assumptions'!$B$5-$B6,0),'Assumptions'!$B$5*EXP(-'Assumptions'!$B$9*(G$24/365))*NORMSDIST(-(((LN($B6/'Assumptions'!$B$5)+('Assumptions'!$B$9+0.5*'Assumptions'!$B$8^2)*(G$24/365))/('Assumptions'!$B$8*SQRT((G$24/365))))-'Assumptions'!$B$8*SQRT((G$24/365))))-$B6*NORMSDIST(-((LN($B6/'Assumptions'!$B$5)+('Assumptions'!$B$9+0.5*'Assumptions'!$B$8^2)*(G$24/365))/('Assumptions'!$B$8*SQRT((G$24/365))))))</f>
        <v/>
      </c>
      <c r="H6" s="26">
        <f>IF(H$24=0,MAX('Assumptions'!$B$5-$B6,0),'Assumptions'!$B$5*EXP(-'Assumptions'!$B$9*(H$24/365))*NORMSDIST(-(((LN($B6/'Assumptions'!$B$5)+('Assumptions'!$B$9+0.5*'Assumptions'!$B$8^2)*(H$24/365))/('Assumptions'!$B$8*SQRT((H$24/365))))-'Assumptions'!$B$8*SQRT((H$24/365))))-$B6*NORMSDIST(-((LN($B6/'Assumptions'!$B$5)+('Assumptions'!$B$9+0.5*'Assumptions'!$B$8^2)*(H$24/365))/('Assumptions'!$B$8*SQRT((H$24/365))))))</f>
        <v/>
      </c>
      <c r="I6" s="26">
        <f>IF(I$24=0,MAX('Assumptions'!$B$5-$B6,0),'Assumptions'!$B$5*EXP(-'Assumptions'!$B$9*(I$24/365))*NORMSDIST(-(((LN($B6/'Assumptions'!$B$5)+('Assumptions'!$B$9+0.5*'Assumptions'!$B$8^2)*(I$24/365))/('Assumptions'!$B$8*SQRT((I$24/365))))-'Assumptions'!$B$8*SQRT((I$24/365))))-$B6*NORMSDIST(-((LN($B6/'Assumptions'!$B$5)+('Assumptions'!$B$9+0.5*'Assumptions'!$B$8^2)*(I$24/365))/('Assumptions'!$B$8*SQRT((I$24/365))))))</f>
        <v/>
      </c>
      <c r="J6" s="26">
        <f>IF(J$24=0,MAX('Assumptions'!$B$5-$B6,0),'Assumptions'!$B$5*EXP(-'Assumptions'!$B$9*(J$24/365))*NORMSDIST(-(((LN($B6/'Assumptions'!$B$5)+('Assumptions'!$B$9+0.5*'Assumptions'!$B$8^2)*(J$24/365))/('Assumptions'!$B$8*SQRT((J$24/365))))-'Assumptions'!$B$8*SQRT((J$24/365))))-$B6*NORMSDIST(-((LN($B6/'Assumptions'!$B$5)+('Assumptions'!$B$9+0.5*'Assumptions'!$B$8^2)*(J$24/365))/('Assumptions'!$B$8*SQRT((J$24/365))))))</f>
        <v/>
      </c>
      <c r="K6" s="26">
        <f>IF(K$24=0,MAX('Assumptions'!$B$5-$B6,0),'Assumptions'!$B$5*EXP(-'Assumptions'!$B$9*(K$24/365))*NORMSDIST(-(((LN($B6/'Assumptions'!$B$5)+('Assumptions'!$B$9+0.5*'Assumptions'!$B$8^2)*(K$24/365))/('Assumptions'!$B$8*SQRT((K$24/365))))-'Assumptions'!$B$8*SQRT((K$24/365))))-$B6*NORMSDIST(-((LN($B6/'Assumptions'!$B$5)+('Assumptions'!$B$9+0.5*'Assumptions'!$B$8^2)*(K$24/365))/('Assumptions'!$B$8*SQRT((K$24/365))))))</f>
        <v/>
      </c>
      <c r="L6" s="26">
        <f>IF(L$24=0,MAX('Assumptions'!$B$5-$B6,0),'Assumptions'!$B$5*EXP(-'Assumptions'!$B$9*(L$24/365))*NORMSDIST(-(((LN($B6/'Assumptions'!$B$5)+('Assumptions'!$B$9+0.5*'Assumptions'!$B$8^2)*(L$24/365))/('Assumptions'!$B$8*SQRT((L$24/365))))-'Assumptions'!$B$8*SQRT((L$24/365))))-$B6*NORMSDIST(-((LN($B6/'Assumptions'!$B$5)+('Assumptions'!$B$9+0.5*'Assumptions'!$B$8^2)*(L$24/365))/('Assumptions'!$B$8*SQRT((L$24/365))))))</f>
        <v/>
      </c>
      <c r="M6" s="26">
        <f>IF(M$24=0,MAX('Assumptions'!$B$5-$B6,0),'Assumptions'!$B$5*EXP(-'Assumptions'!$B$9*(M$24/365))*NORMSDIST(-(((LN($B6/'Assumptions'!$B$5)+('Assumptions'!$B$9+0.5*'Assumptions'!$B$8^2)*(M$24/365))/('Assumptions'!$B$8*SQRT((M$24/365))))-'Assumptions'!$B$8*SQRT((M$24/365))))-$B6*NORMSDIST(-((LN($B6/'Assumptions'!$B$5)+('Assumptions'!$B$9+0.5*'Assumptions'!$B$8^2)*(M$24/365))/('Assumptions'!$B$8*SQRT((M$24/365))))))</f>
        <v/>
      </c>
      <c r="N6" s="26">
        <f>IF(N$24=0,MAX('Assumptions'!$B$5-$B6,0),'Assumptions'!$B$5*EXP(-'Assumptions'!$B$9*(N$24/365))*NORMSDIST(-(((LN($B6/'Assumptions'!$B$5)+('Assumptions'!$B$9+0.5*'Assumptions'!$B$8^2)*(N$24/365))/('Assumptions'!$B$8*SQRT((N$24/365))))-'Assumptions'!$B$8*SQRT((N$24/365))))-$B6*NORMSDIST(-((LN($B6/'Assumptions'!$B$5)+('Assumptions'!$B$9+0.5*'Assumptions'!$B$8^2)*(N$24/365))/('Assumptions'!$B$8*SQRT((N$24/365))))))</f>
        <v/>
      </c>
      <c r="O6" s="26">
        <f>IF(O$24=0,MAX('Assumptions'!$B$5-$B6,0),'Assumptions'!$B$5*EXP(-'Assumptions'!$B$9*(O$24/365))*NORMSDIST(-(((LN($B6/'Assumptions'!$B$5)+('Assumptions'!$B$9+0.5*'Assumptions'!$B$8^2)*(O$24/365))/('Assumptions'!$B$8*SQRT((O$24/365))))-'Assumptions'!$B$8*SQRT((O$24/365))))-$B6*NORMSDIST(-((LN($B6/'Assumptions'!$B$5)+('Assumptions'!$B$9+0.5*'Assumptions'!$B$8^2)*(O$24/365))/('Assumptions'!$B$8*SQRT((O$24/365))))))</f>
        <v/>
      </c>
      <c r="P6" s="26">
        <f>IF(P$24=0,MAX('Assumptions'!$B$5-$B6,0),'Assumptions'!$B$5*EXP(-'Assumptions'!$B$9*(P$24/365))*NORMSDIST(-(((LN($B6/'Assumptions'!$B$5)+('Assumptions'!$B$9+0.5*'Assumptions'!$B$8^2)*(P$24/365))/('Assumptions'!$B$8*SQRT((P$24/365))))-'Assumptions'!$B$8*SQRT((P$24/365))))-$B6*NORMSDIST(-((LN($B6/'Assumptions'!$B$5)+('Assumptions'!$B$9+0.5*'Assumptions'!$B$8^2)*(P$24/365))/('Assumptions'!$B$8*SQRT((P$24/365))))))</f>
        <v/>
      </c>
      <c r="Q6" s="26">
        <f>IF(Q$24=0,MAX('Assumptions'!$B$5-$B6,0),'Assumptions'!$B$5*EXP(-'Assumptions'!$B$9*(Q$24/365))*NORMSDIST(-(((LN($B6/'Assumptions'!$B$5)+('Assumptions'!$B$9+0.5*'Assumptions'!$B$8^2)*(Q$24/365))/('Assumptions'!$B$8*SQRT((Q$24/365))))-'Assumptions'!$B$8*SQRT((Q$24/365))))-$B6*NORMSDIST(-((LN($B6/'Assumptions'!$B$5)+('Assumptions'!$B$9+0.5*'Assumptions'!$B$8^2)*(Q$24/365))/('Assumptions'!$B$8*SQRT((Q$24/365))))))</f>
        <v/>
      </c>
      <c r="R6" s="26">
        <f>IF(R$24=0,MAX('Assumptions'!$B$5-$B6,0),'Assumptions'!$B$5*EXP(-'Assumptions'!$B$9*(R$24/365))*NORMSDIST(-(((LN($B6/'Assumptions'!$B$5)+('Assumptions'!$B$9+0.5*'Assumptions'!$B$8^2)*(R$24/365))/('Assumptions'!$B$8*SQRT((R$24/365))))-'Assumptions'!$B$8*SQRT((R$24/365))))-$B6*NORMSDIST(-((LN($B6/'Assumptions'!$B$5)+('Assumptions'!$B$9+0.5*'Assumptions'!$B$8^2)*(R$24/365))/('Assumptions'!$B$8*SQRT((R$24/365))))))</f>
        <v/>
      </c>
      <c r="S6" s="26">
        <f>IF(S$24=0,MAX('Assumptions'!$B$5-$B6,0),'Assumptions'!$B$5*EXP(-'Assumptions'!$B$9*(S$24/365))*NORMSDIST(-(((LN($B6/'Assumptions'!$B$5)+('Assumptions'!$B$9+0.5*'Assumptions'!$B$8^2)*(S$24/365))/('Assumptions'!$B$8*SQRT((S$24/365))))-'Assumptions'!$B$8*SQRT((S$24/365))))-$B6*NORMSDIST(-((LN($B6/'Assumptions'!$B$5)+('Assumptions'!$B$9+0.5*'Assumptions'!$B$8^2)*(S$24/365))/('Assumptions'!$B$8*SQRT((S$24/365))))))</f>
        <v/>
      </c>
      <c r="T6" s="26">
        <f>IF(T$24=0,MAX('Assumptions'!$B$5-$B6,0),'Assumptions'!$B$5*EXP(-'Assumptions'!$B$9*(T$24/365))*NORMSDIST(-(((LN($B6/'Assumptions'!$B$5)+('Assumptions'!$B$9+0.5*'Assumptions'!$B$8^2)*(T$24/365))/('Assumptions'!$B$8*SQRT((T$24/365))))-'Assumptions'!$B$8*SQRT((T$24/365))))-$B6*NORMSDIST(-((LN($B6/'Assumptions'!$B$5)+('Assumptions'!$B$9+0.5*'Assumptions'!$B$8^2)*(T$24/365))/('Assumptions'!$B$8*SQRT((T$24/365))))))</f>
        <v/>
      </c>
      <c r="U6" s="26">
        <f>IF(U$24=0,MAX('Assumptions'!$B$5-$B6,0),'Assumptions'!$B$5*EXP(-'Assumptions'!$B$9*(U$24/365))*NORMSDIST(-(((LN($B6/'Assumptions'!$B$5)+('Assumptions'!$B$9+0.5*'Assumptions'!$B$8^2)*(U$24/365))/('Assumptions'!$B$8*SQRT((U$24/365))))-'Assumptions'!$B$8*SQRT((U$24/365))))-$B6*NORMSDIST(-((LN($B6/'Assumptions'!$B$5)+('Assumptions'!$B$9+0.5*'Assumptions'!$B$8^2)*(U$24/365))/('Assumptions'!$B$8*SQRT((U$24/365))))))</f>
        <v/>
      </c>
    </row>
    <row r="7" ht="22" customHeight="1">
      <c r="A7" s="15" t="n">
        <v>0.04</v>
      </c>
      <c r="B7" s="26">
        <f>'Assumptions'!$B$4*(1-A7)</f>
        <v/>
      </c>
      <c r="C7" s="26">
        <f>IF(C$24=0,MAX('Assumptions'!$B$5-$B7,0),'Assumptions'!$B$5*EXP(-'Assumptions'!$B$9*(C$24/365))*NORMSDIST(-(((LN($B7/'Assumptions'!$B$5)+('Assumptions'!$B$9+0.5*'Assumptions'!$B$8^2)*(C$24/365))/('Assumptions'!$B$8*SQRT((C$24/365))))-'Assumptions'!$B$8*SQRT((C$24/365))))-$B7*NORMSDIST(-((LN($B7/'Assumptions'!$B$5)+('Assumptions'!$B$9+0.5*'Assumptions'!$B$8^2)*(C$24/365))/('Assumptions'!$B$8*SQRT((C$24/365))))))</f>
        <v/>
      </c>
      <c r="D7" s="26">
        <f>IF(D$24=0,MAX('Assumptions'!$B$5-$B7,0),'Assumptions'!$B$5*EXP(-'Assumptions'!$B$9*(D$24/365))*NORMSDIST(-(((LN($B7/'Assumptions'!$B$5)+('Assumptions'!$B$9+0.5*'Assumptions'!$B$8^2)*(D$24/365))/('Assumptions'!$B$8*SQRT((D$24/365))))-'Assumptions'!$B$8*SQRT((D$24/365))))-$B7*NORMSDIST(-((LN($B7/'Assumptions'!$B$5)+('Assumptions'!$B$9+0.5*'Assumptions'!$B$8^2)*(D$24/365))/('Assumptions'!$B$8*SQRT((D$24/365))))))</f>
        <v/>
      </c>
      <c r="E7" s="26">
        <f>IF(E$24=0,MAX('Assumptions'!$B$5-$B7,0),'Assumptions'!$B$5*EXP(-'Assumptions'!$B$9*(E$24/365))*NORMSDIST(-(((LN($B7/'Assumptions'!$B$5)+('Assumptions'!$B$9+0.5*'Assumptions'!$B$8^2)*(E$24/365))/('Assumptions'!$B$8*SQRT((E$24/365))))-'Assumptions'!$B$8*SQRT((E$24/365))))-$B7*NORMSDIST(-((LN($B7/'Assumptions'!$B$5)+('Assumptions'!$B$9+0.5*'Assumptions'!$B$8^2)*(E$24/365))/('Assumptions'!$B$8*SQRT((E$24/365))))))</f>
        <v/>
      </c>
      <c r="F7" s="26">
        <f>IF(F$24=0,MAX('Assumptions'!$B$5-$B7,0),'Assumptions'!$B$5*EXP(-'Assumptions'!$B$9*(F$24/365))*NORMSDIST(-(((LN($B7/'Assumptions'!$B$5)+('Assumptions'!$B$9+0.5*'Assumptions'!$B$8^2)*(F$24/365))/('Assumptions'!$B$8*SQRT((F$24/365))))-'Assumptions'!$B$8*SQRT((F$24/365))))-$B7*NORMSDIST(-((LN($B7/'Assumptions'!$B$5)+('Assumptions'!$B$9+0.5*'Assumptions'!$B$8^2)*(F$24/365))/('Assumptions'!$B$8*SQRT((F$24/365))))))</f>
        <v/>
      </c>
      <c r="G7" s="26">
        <f>IF(G$24=0,MAX('Assumptions'!$B$5-$B7,0),'Assumptions'!$B$5*EXP(-'Assumptions'!$B$9*(G$24/365))*NORMSDIST(-(((LN($B7/'Assumptions'!$B$5)+('Assumptions'!$B$9+0.5*'Assumptions'!$B$8^2)*(G$24/365))/('Assumptions'!$B$8*SQRT((G$24/365))))-'Assumptions'!$B$8*SQRT((G$24/365))))-$B7*NORMSDIST(-((LN($B7/'Assumptions'!$B$5)+('Assumptions'!$B$9+0.5*'Assumptions'!$B$8^2)*(G$24/365))/('Assumptions'!$B$8*SQRT((G$24/365))))))</f>
        <v/>
      </c>
      <c r="H7" s="26">
        <f>IF(H$24=0,MAX('Assumptions'!$B$5-$B7,0),'Assumptions'!$B$5*EXP(-'Assumptions'!$B$9*(H$24/365))*NORMSDIST(-(((LN($B7/'Assumptions'!$B$5)+('Assumptions'!$B$9+0.5*'Assumptions'!$B$8^2)*(H$24/365))/('Assumptions'!$B$8*SQRT((H$24/365))))-'Assumptions'!$B$8*SQRT((H$24/365))))-$B7*NORMSDIST(-((LN($B7/'Assumptions'!$B$5)+('Assumptions'!$B$9+0.5*'Assumptions'!$B$8^2)*(H$24/365))/('Assumptions'!$B$8*SQRT((H$24/365))))))</f>
        <v/>
      </c>
      <c r="I7" s="26">
        <f>IF(I$24=0,MAX('Assumptions'!$B$5-$B7,0),'Assumptions'!$B$5*EXP(-'Assumptions'!$B$9*(I$24/365))*NORMSDIST(-(((LN($B7/'Assumptions'!$B$5)+('Assumptions'!$B$9+0.5*'Assumptions'!$B$8^2)*(I$24/365))/('Assumptions'!$B$8*SQRT((I$24/365))))-'Assumptions'!$B$8*SQRT((I$24/365))))-$B7*NORMSDIST(-((LN($B7/'Assumptions'!$B$5)+('Assumptions'!$B$9+0.5*'Assumptions'!$B$8^2)*(I$24/365))/('Assumptions'!$B$8*SQRT((I$24/365))))))</f>
        <v/>
      </c>
      <c r="J7" s="26">
        <f>IF(J$24=0,MAX('Assumptions'!$B$5-$B7,0),'Assumptions'!$B$5*EXP(-'Assumptions'!$B$9*(J$24/365))*NORMSDIST(-(((LN($B7/'Assumptions'!$B$5)+('Assumptions'!$B$9+0.5*'Assumptions'!$B$8^2)*(J$24/365))/('Assumptions'!$B$8*SQRT((J$24/365))))-'Assumptions'!$B$8*SQRT((J$24/365))))-$B7*NORMSDIST(-((LN($B7/'Assumptions'!$B$5)+('Assumptions'!$B$9+0.5*'Assumptions'!$B$8^2)*(J$24/365))/('Assumptions'!$B$8*SQRT((J$24/365))))))</f>
        <v/>
      </c>
      <c r="K7" s="26">
        <f>IF(K$24=0,MAX('Assumptions'!$B$5-$B7,0),'Assumptions'!$B$5*EXP(-'Assumptions'!$B$9*(K$24/365))*NORMSDIST(-(((LN($B7/'Assumptions'!$B$5)+('Assumptions'!$B$9+0.5*'Assumptions'!$B$8^2)*(K$24/365))/('Assumptions'!$B$8*SQRT((K$24/365))))-'Assumptions'!$B$8*SQRT((K$24/365))))-$B7*NORMSDIST(-((LN($B7/'Assumptions'!$B$5)+('Assumptions'!$B$9+0.5*'Assumptions'!$B$8^2)*(K$24/365))/('Assumptions'!$B$8*SQRT((K$24/365))))))</f>
        <v/>
      </c>
      <c r="L7" s="26">
        <f>IF(L$24=0,MAX('Assumptions'!$B$5-$B7,0),'Assumptions'!$B$5*EXP(-'Assumptions'!$B$9*(L$24/365))*NORMSDIST(-(((LN($B7/'Assumptions'!$B$5)+('Assumptions'!$B$9+0.5*'Assumptions'!$B$8^2)*(L$24/365))/('Assumptions'!$B$8*SQRT((L$24/365))))-'Assumptions'!$B$8*SQRT((L$24/365))))-$B7*NORMSDIST(-((LN($B7/'Assumptions'!$B$5)+('Assumptions'!$B$9+0.5*'Assumptions'!$B$8^2)*(L$24/365))/('Assumptions'!$B$8*SQRT((L$24/365))))))</f>
        <v/>
      </c>
      <c r="M7" s="26">
        <f>IF(M$24=0,MAX('Assumptions'!$B$5-$B7,0),'Assumptions'!$B$5*EXP(-'Assumptions'!$B$9*(M$24/365))*NORMSDIST(-(((LN($B7/'Assumptions'!$B$5)+('Assumptions'!$B$9+0.5*'Assumptions'!$B$8^2)*(M$24/365))/('Assumptions'!$B$8*SQRT((M$24/365))))-'Assumptions'!$B$8*SQRT((M$24/365))))-$B7*NORMSDIST(-((LN($B7/'Assumptions'!$B$5)+('Assumptions'!$B$9+0.5*'Assumptions'!$B$8^2)*(M$24/365))/('Assumptions'!$B$8*SQRT((M$24/365))))))</f>
        <v/>
      </c>
      <c r="N7" s="26">
        <f>IF(N$24=0,MAX('Assumptions'!$B$5-$B7,0),'Assumptions'!$B$5*EXP(-'Assumptions'!$B$9*(N$24/365))*NORMSDIST(-(((LN($B7/'Assumptions'!$B$5)+('Assumptions'!$B$9+0.5*'Assumptions'!$B$8^2)*(N$24/365))/('Assumptions'!$B$8*SQRT((N$24/365))))-'Assumptions'!$B$8*SQRT((N$24/365))))-$B7*NORMSDIST(-((LN($B7/'Assumptions'!$B$5)+('Assumptions'!$B$9+0.5*'Assumptions'!$B$8^2)*(N$24/365))/('Assumptions'!$B$8*SQRT((N$24/365))))))</f>
        <v/>
      </c>
      <c r="O7" s="26">
        <f>IF(O$24=0,MAX('Assumptions'!$B$5-$B7,0),'Assumptions'!$B$5*EXP(-'Assumptions'!$B$9*(O$24/365))*NORMSDIST(-(((LN($B7/'Assumptions'!$B$5)+('Assumptions'!$B$9+0.5*'Assumptions'!$B$8^2)*(O$24/365))/('Assumptions'!$B$8*SQRT((O$24/365))))-'Assumptions'!$B$8*SQRT((O$24/365))))-$B7*NORMSDIST(-((LN($B7/'Assumptions'!$B$5)+('Assumptions'!$B$9+0.5*'Assumptions'!$B$8^2)*(O$24/365))/('Assumptions'!$B$8*SQRT((O$24/365))))))</f>
        <v/>
      </c>
      <c r="P7" s="26">
        <f>IF(P$24=0,MAX('Assumptions'!$B$5-$B7,0),'Assumptions'!$B$5*EXP(-'Assumptions'!$B$9*(P$24/365))*NORMSDIST(-(((LN($B7/'Assumptions'!$B$5)+('Assumptions'!$B$9+0.5*'Assumptions'!$B$8^2)*(P$24/365))/('Assumptions'!$B$8*SQRT((P$24/365))))-'Assumptions'!$B$8*SQRT((P$24/365))))-$B7*NORMSDIST(-((LN($B7/'Assumptions'!$B$5)+('Assumptions'!$B$9+0.5*'Assumptions'!$B$8^2)*(P$24/365))/('Assumptions'!$B$8*SQRT((P$24/365))))))</f>
        <v/>
      </c>
      <c r="Q7" s="26">
        <f>IF(Q$24=0,MAX('Assumptions'!$B$5-$B7,0),'Assumptions'!$B$5*EXP(-'Assumptions'!$B$9*(Q$24/365))*NORMSDIST(-(((LN($B7/'Assumptions'!$B$5)+('Assumptions'!$B$9+0.5*'Assumptions'!$B$8^2)*(Q$24/365))/('Assumptions'!$B$8*SQRT((Q$24/365))))-'Assumptions'!$B$8*SQRT((Q$24/365))))-$B7*NORMSDIST(-((LN($B7/'Assumptions'!$B$5)+('Assumptions'!$B$9+0.5*'Assumptions'!$B$8^2)*(Q$24/365))/('Assumptions'!$B$8*SQRT((Q$24/365))))))</f>
        <v/>
      </c>
      <c r="R7" s="26">
        <f>IF(R$24=0,MAX('Assumptions'!$B$5-$B7,0),'Assumptions'!$B$5*EXP(-'Assumptions'!$B$9*(R$24/365))*NORMSDIST(-(((LN($B7/'Assumptions'!$B$5)+('Assumptions'!$B$9+0.5*'Assumptions'!$B$8^2)*(R$24/365))/('Assumptions'!$B$8*SQRT((R$24/365))))-'Assumptions'!$B$8*SQRT((R$24/365))))-$B7*NORMSDIST(-((LN($B7/'Assumptions'!$B$5)+('Assumptions'!$B$9+0.5*'Assumptions'!$B$8^2)*(R$24/365))/('Assumptions'!$B$8*SQRT((R$24/365))))))</f>
        <v/>
      </c>
      <c r="S7" s="26">
        <f>IF(S$24=0,MAX('Assumptions'!$B$5-$B7,0),'Assumptions'!$B$5*EXP(-'Assumptions'!$B$9*(S$24/365))*NORMSDIST(-(((LN($B7/'Assumptions'!$B$5)+('Assumptions'!$B$9+0.5*'Assumptions'!$B$8^2)*(S$24/365))/('Assumptions'!$B$8*SQRT((S$24/365))))-'Assumptions'!$B$8*SQRT((S$24/365))))-$B7*NORMSDIST(-((LN($B7/'Assumptions'!$B$5)+('Assumptions'!$B$9+0.5*'Assumptions'!$B$8^2)*(S$24/365))/('Assumptions'!$B$8*SQRT((S$24/365))))))</f>
        <v/>
      </c>
      <c r="T7" s="26">
        <f>IF(T$24=0,MAX('Assumptions'!$B$5-$B7,0),'Assumptions'!$B$5*EXP(-'Assumptions'!$B$9*(T$24/365))*NORMSDIST(-(((LN($B7/'Assumptions'!$B$5)+('Assumptions'!$B$9+0.5*'Assumptions'!$B$8^2)*(T$24/365))/('Assumptions'!$B$8*SQRT((T$24/365))))-'Assumptions'!$B$8*SQRT((T$24/365))))-$B7*NORMSDIST(-((LN($B7/'Assumptions'!$B$5)+('Assumptions'!$B$9+0.5*'Assumptions'!$B$8^2)*(T$24/365))/('Assumptions'!$B$8*SQRT((T$24/365))))))</f>
        <v/>
      </c>
      <c r="U7" s="26">
        <f>IF(U$24=0,MAX('Assumptions'!$B$5-$B7,0),'Assumptions'!$B$5*EXP(-'Assumptions'!$B$9*(U$24/365))*NORMSDIST(-(((LN($B7/'Assumptions'!$B$5)+('Assumptions'!$B$9+0.5*'Assumptions'!$B$8^2)*(U$24/365))/('Assumptions'!$B$8*SQRT((U$24/365))))-'Assumptions'!$B$8*SQRT((U$24/365))))-$B7*NORMSDIST(-((LN($B7/'Assumptions'!$B$5)+('Assumptions'!$B$9+0.5*'Assumptions'!$B$8^2)*(U$24/365))/('Assumptions'!$B$8*SQRT((U$24/365))))))</f>
        <v/>
      </c>
    </row>
    <row r="8" ht="22" customHeight="1">
      <c r="A8" s="15" t="n">
        <v>0.05</v>
      </c>
      <c r="B8" s="26">
        <f>'Assumptions'!$B$4*(1-A8)</f>
        <v/>
      </c>
      <c r="C8" s="26">
        <f>IF(C$24=0,MAX('Assumptions'!$B$5-$B8,0),'Assumptions'!$B$5*EXP(-'Assumptions'!$B$9*(C$24/365))*NORMSDIST(-(((LN($B8/'Assumptions'!$B$5)+('Assumptions'!$B$9+0.5*'Assumptions'!$B$8^2)*(C$24/365))/('Assumptions'!$B$8*SQRT((C$24/365))))-'Assumptions'!$B$8*SQRT((C$24/365))))-$B8*NORMSDIST(-((LN($B8/'Assumptions'!$B$5)+('Assumptions'!$B$9+0.5*'Assumptions'!$B$8^2)*(C$24/365))/('Assumptions'!$B$8*SQRT((C$24/365))))))</f>
        <v/>
      </c>
      <c r="D8" s="26">
        <f>IF(D$24=0,MAX('Assumptions'!$B$5-$B8,0),'Assumptions'!$B$5*EXP(-'Assumptions'!$B$9*(D$24/365))*NORMSDIST(-(((LN($B8/'Assumptions'!$B$5)+('Assumptions'!$B$9+0.5*'Assumptions'!$B$8^2)*(D$24/365))/('Assumptions'!$B$8*SQRT((D$24/365))))-'Assumptions'!$B$8*SQRT((D$24/365))))-$B8*NORMSDIST(-((LN($B8/'Assumptions'!$B$5)+('Assumptions'!$B$9+0.5*'Assumptions'!$B$8^2)*(D$24/365))/('Assumptions'!$B$8*SQRT((D$24/365))))))</f>
        <v/>
      </c>
      <c r="E8" s="26">
        <f>IF(E$24=0,MAX('Assumptions'!$B$5-$B8,0),'Assumptions'!$B$5*EXP(-'Assumptions'!$B$9*(E$24/365))*NORMSDIST(-(((LN($B8/'Assumptions'!$B$5)+('Assumptions'!$B$9+0.5*'Assumptions'!$B$8^2)*(E$24/365))/('Assumptions'!$B$8*SQRT((E$24/365))))-'Assumptions'!$B$8*SQRT((E$24/365))))-$B8*NORMSDIST(-((LN($B8/'Assumptions'!$B$5)+('Assumptions'!$B$9+0.5*'Assumptions'!$B$8^2)*(E$24/365))/('Assumptions'!$B$8*SQRT((E$24/365))))))</f>
        <v/>
      </c>
      <c r="F8" s="26">
        <f>IF(F$24=0,MAX('Assumptions'!$B$5-$B8,0),'Assumptions'!$B$5*EXP(-'Assumptions'!$B$9*(F$24/365))*NORMSDIST(-(((LN($B8/'Assumptions'!$B$5)+('Assumptions'!$B$9+0.5*'Assumptions'!$B$8^2)*(F$24/365))/('Assumptions'!$B$8*SQRT((F$24/365))))-'Assumptions'!$B$8*SQRT((F$24/365))))-$B8*NORMSDIST(-((LN($B8/'Assumptions'!$B$5)+('Assumptions'!$B$9+0.5*'Assumptions'!$B$8^2)*(F$24/365))/('Assumptions'!$B$8*SQRT((F$24/365))))))</f>
        <v/>
      </c>
      <c r="G8" s="26">
        <f>IF(G$24=0,MAX('Assumptions'!$B$5-$B8,0),'Assumptions'!$B$5*EXP(-'Assumptions'!$B$9*(G$24/365))*NORMSDIST(-(((LN($B8/'Assumptions'!$B$5)+('Assumptions'!$B$9+0.5*'Assumptions'!$B$8^2)*(G$24/365))/('Assumptions'!$B$8*SQRT((G$24/365))))-'Assumptions'!$B$8*SQRT((G$24/365))))-$B8*NORMSDIST(-((LN($B8/'Assumptions'!$B$5)+('Assumptions'!$B$9+0.5*'Assumptions'!$B$8^2)*(G$24/365))/('Assumptions'!$B$8*SQRT((G$24/365))))))</f>
        <v/>
      </c>
      <c r="H8" s="26">
        <f>IF(H$24=0,MAX('Assumptions'!$B$5-$B8,0),'Assumptions'!$B$5*EXP(-'Assumptions'!$B$9*(H$24/365))*NORMSDIST(-(((LN($B8/'Assumptions'!$B$5)+('Assumptions'!$B$9+0.5*'Assumptions'!$B$8^2)*(H$24/365))/('Assumptions'!$B$8*SQRT((H$24/365))))-'Assumptions'!$B$8*SQRT((H$24/365))))-$B8*NORMSDIST(-((LN($B8/'Assumptions'!$B$5)+('Assumptions'!$B$9+0.5*'Assumptions'!$B$8^2)*(H$24/365))/('Assumptions'!$B$8*SQRT((H$24/365))))))</f>
        <v/>
      </c>
      <c r="I8" s="26">
        <f>IF(I$24=0,MAX('Assumptions'!$B$5-$B8,0),'Assumptions'!$B$5*EXP(-'Assumptions'!$B$9*(I$24/365))*NORMSDIST(-(((LN($B8/'Assumptions'!$B$5)+('Assumptions'!$B$9+0.5*'Assumptions'!$B$8^2)*(I$24/365))/('Assumptions'!$B$8*SQRT((I$24/365))))-'Assumptions'!$B$8*SQRT((I$24/365))))-$B8*NORMSDIST(-((LN($B8/'Assumptions'!$B$5)+('Assumptions'!$B$9+0.5*'Assumptions'!$B$8^2)*(I$24/365))/('Assumptions'!$B$8*SQRT((I$24/365))))))</f>
        <v/>
      </c>
      <c r="J8" s="26">
        <f>IF(J$24=0,MAX('Assumptions'!$B$5-$B8,0),'Assumptions'!$B$5*EXP(-'Assumptions'!$B$9*(J$24/365))*NORMSDIST(-(((LN($B8/'Assumptions'!$B$5)+('Assumptions'!$B$9+0.5*'Assumptions'!$B$8^2)*(J$24/365))/('Assumptions'!$B$8*SQRT((J$24/365))))-'Assumptions'!$B$8*SQRT((J$24/365))))-$B8*NORMSDIST(-((LN($B8/'Assumptions'!$B$5)+('Assumptions'!$B$9+0.5*'Assumptions'!$B$8^2)*(J$24/365))/('Assumptions'!$B$8*SQRT((J$24/365))))))</f>
        <v/>
      </c>
      <c r="K8" s="26">
        <f>IF(K$24=0,MAX('Assumptions'!$B$5-$B8,0),'Assumptions'!$B$5*EXP(-'Assumptions'!$B$9*(K$24/365))*NORMSDIST(-(((LN($B8/'Assumptions'!$B$5)+('Assumptions'!$B$9+0.5*'Assumptions'!$B$8^2)*(K$24/365))/('Assumptions'!$B$8*SQRT((K$24/365))))-'Assumptions'!$B$8*SQRT((K$24/365))))-$B8*NORMSDIST(-((LN($B8/'Assumptions'!$B$5)+('Assumptions'!$B$9+0.5*'Assumptions'!$B$8^2)*(K$24/365))/('Assumptions'!$B$8*SQRT((K$24/365))))))</f>
        <v/>
      </c>
      <c r="L8" s="26">
        <f>IF(L$24=0,MAX('Assumptions'!$B$5-$B8,0),'Assumptions'!$B$5*EXP(-'Assumptions'!$B$9*(L$24/365))*NORMSDIST(-(((LN($B8/'Assumptions'!$B$5)+('Assumptions'!$B$9+0.5*'Assumptions'!$B$8^2)*(L$24/365))/('Assumptions'!$B$8*SQRT((L$24/365))))-'Assumptions'!$B$8*SQRT((L$24/365))))-$B8*NORMSDIST(-((LN($B8/'Assumptions'!$B$5)+('Assumptions'!$B$9+0.5*'Assumptions'!$B$8^2)*(L$24/365))/('Assumptions'!$B$8*SQRT((L$24/365))))))</f>
        <v/>
      </c>
      <c r="M8" s="26">
        <f>IF(M$24=0,MAX('Assumptions'!$B$5-$B8,0),'Assumptions'!$B$5*EXP(-'Assumptions'!$B$9*(M$24/365))*NORMSDIST(-(((LN($B8/'Assumptions'!$B$5)+('Assumptions'!$B$9+0.5*'Assumptions'!$B$8^2)*(M$24/365))/('Assumptions'!$B$8*SQRT((M$24/365))))-'Assumptions'!$B$8*SQRT((M$24/365))))-$B8*NORMSDIST(-((LN($B8/'Assumptions'!$B$5)+('Assumptions'!$B$9+0.5*'Assumptions'!$B$8^2)*(M$24/365))/('Assumptions'!$B$8*SQRT((M$24/365))))))</f>
        <v/>
      </c>
      <c r="N8" s="26">
        <f>IF(N$24=0,MAX('Assumptions'!$B$5-$B8,0),'Assumptions'!$B$5*EXP(-'Assumptions'!$B$9*(N$24/365))*NORMSDIST(-(((LN($B8/'Assumptions'!$B$5)+('Assumptions'!$B$9+0.5*'Assumptions'!$B$8^2)*(N$24/365))/('Assumptions'!$B$8*SQRT((N$24/365))))-'Assumptions'!$B$8*SQRT((N$24/365))))-$B8*NORMSDIST(-((LN($B8/'Assumptions'!$B$5)+('Assumptions'!$B$9+0.5*'Assumptions'!$B$8^2)*(N$24/365))/('Assumptions'!$B$8*SQRT((N$24/365))))))</f>
        <v/>
      </c>
      <c r="O8" s="26">
        <f>IF(O$24=0,MAX('Assumptions'!$B$5-$B8,0),'Assumptions'!$B$5*EXP(-'Assumptions'!$B$9*(O$24/365))*NORMSDIST(-(((LN($B8/'Assumptions'!$B$5)+('Assumptions'!$B$9+0.5*'Assumptions'!$B$8^2)*(O$24/365))/('Assumptions'!$B$8*SQRT((O$24/365))))-'Assumptions'!$B$8*SQRT((O$24/365))))-$B8*NORMSDIST(-((LN($B8/'Assumptions'!$B$5)+('Assumptions'!$B$9+0.5*'Assumptions'!$B$8^2)*(O$24/365))/('Assumptions'!$B$8*SQRT((O$24/365))))))</f>
        <v/>
      </c>
      <c r="P8" s="26">
        <f>IF(P$24=0,MAX('Assumptions'!$B$5-$B8,0),'Assumptions'!$B$5*EXP(-'Assumptions'!$B$9*(P$24/365))*NORMSDIST(-(((LN($B8/'Assumptions'!$B$5)+('Assumptions'!$B$9+0.5*'Assumptions'!$B$8^2)*(P$24/365))/('Assumptions'!$B$8*SQRT((P$24/365))))-'Assumptions'!$B$8*SQRT((P$24/365))))-$B8*NORMSDIST(-((LN($B8/'Assumptions'!$B$5)+('Assumptions'!$B$9+0.5*'Assumptions'!$B$8^2)*(P$24/365))/('Assumptions'!$B$8*SQRT((P$24/365))))))</f>
        <v/>
      </c>
      <c r="Q8" s="26">
        <f>IF(Q$24=0,MAX('Assumptions'!$B$5-$B8,0),'Assumptions'!$B$5*EXP(-'Assumptions'!$B$9*(Q$24/365))*NORMSDIST(-(((LN($B8/'Assumptions'!$B$5)+('Assumptions'!$B$9+0.5*'Assumptions'!$B$8^2)*(Q$24/365))/('Assumptions'!$B$8*SQRT((Q$24/365))))-'Assumptions'!$B$8*SQRT((Q$24/365))))-$B8*NORMSDIST(-((LN($B8/'Assumptions'!$B$5)+('Assumptions'!$B$9+0.5*'Assumptions'!$B$8^2)*(Q$24/365))/('Assumptions'!$B$8*SQRT((Q$24/365))))))</f>
        <v/>
      </c>
      <c r="R8" s="26">
        <f>IF(R$24=0,MAX('Assumptions'!$B$5-$B8,0),'Assumptions'!$B$5*EXP(-'Assumptions'!$B$9*(R$24/365))*NORMSDIST(-(((LN($B8/'Assumptions'!$B$5)+('Assumptions'!$B$9+0.5*'Assumptions'!$B$8^2)*(R$24/365))/('Assumptions'!$B$8*SQRT((R$24/365))))-'Assumptions'!$B$8*SQRT((R$24/365))))-$B8*NORMSDIST(-((LN($B8/'Assumptions'!$B$5)+('Assumptions'!$B$9+0.5*'Assumptions'!$B$8^2)*(R$24/365))/('Assumptions'!$B$8*SQRT((R$24/365))))))</f>
        <v/>
      </c>
      <c r="S8" s="26">
        <f>IF(S$24=0,MAX('Assumptions'!$B$5-$B8,0),'Assumptions'!$B$5*EXP(-'Assumptions'!$B$9*(S$24/365))*NORMSDIST(-(((LN($B8/'Assumptions'!$B$5)+('Assumptions'!$B$9+0.5*'Assumptions'!$B$8^2)*(S$24/365))/('Assumptions'!$B$8*SQRT((S$24/365))))-'Assumptions'!$B$8*SQRT((S$24/365))))-$B8*NORMSDIST(-((LN($B8/'Assumptions'!$B$5)+('Assumptions'!$B$9+0.5*'Assumptions'!$B$8^2)*(S$24/365))/('Assumptions'!$B$8*SQRT((S$24/365))))))</f>
        <v/>
      </c>
      <c r="T8" s="26">
        <f>IF(T$24=0,MAX('Assumptions'!$B$5-$B8,0),'Assumptions'!$B$5*EXP(-'Assumptions'!$B$9*(T$24/365))*NORMSDIST(-(((LN($B8/'Assumptions'!$B$5)+('Assumptions'!$B$9+0.5*'Assumptions'!$B$8^2)*(T$24/365))/('Assumptions'!$B$8*SQRT((T$24/365))))-'Assumptions'!$B$8*SQRT((T$24/365))))-$B8*NORMSDIST(-((LN($B8/'Assumptions'!$B$5)+('Assumptions'!$B$9+0.5*'Assumptions'!$B$8^2)*(T$24/365))/('Assumptions'!$B$8*SQRT((T$24/365))))))</f>
        <v/>
      </c>
      <c r="U8" s="26">
        <f>IF(U$24=0,MAX('Assumptions'!$B$5-$B8,0),'Assumptions'!$B$5*EXP(-'Assumptions'!$B$9*(U$24/365))*NORMSDIST(-(((LN($B8/'Assumptions'!$B$5)+('Assumptions'!$B$9+0.5*'Assumptions'!$B$8^2)*(U$24/365))/('Assumptions'!$B$8*SQRT((U$24/365))))-'Assumptions'!$B$8*SQRT((U$24/365))))-$B8*NORMSDIST(-((LN($B8/'Assumptions'!$B$5)+('Assumptions'!$B$9+0.5*'Assumptions'!$B$8^2)*(U$24/365))/('Assumptions'!$B$8*SQRT((U$24/365))))))</f>
        <v/>
      </c>
    </row>
    <row r="9" ht="22" customHeight="1">
      <c r="A9" s="15" t="n">
        <v>0.06</v>
      </c>
      <c r="B9" s="26">
        <f>'Assumptions'!$B$4*(1-A9)</f>
        <v/>
      </c>
      <c r="C9" s="26">
        <f>IF(C$24=0,MAX('Assumptions'!$B$5-$B9,0),'Assumptions'!$B$5*EXP(-'Assumptions'!$B$9*(C$24/365))*NORMSDIST(-(((LN($B9/'Assumptions'!$B$5)+('Assumptions'!$B$9+0.5*'Assumptions'!$B$8^2)*(C$24/365))/('Assumptions'!$B$8*SQRT((C$24/365))))-'Assumptions'!$B$8*SQRT((C$24/365))))-$B9*NORMSDIST(-((LN($B9/'Assumptions'!$B$5)+('Assumptions'!$B$9+0.5*'Assumptions'!$B$8^2)*(C$24/365))/('Assumptions'!$B$8*SQRT((C$24/365))))))</f>
        <v/>
      </c>
      <c r="D9" s="26">
        <f>IF(D$24=0,MAX('Assumptions'!$B$5-$B9,0),'Assumptions'!$B$5*EXP(-'Assumptions'!$B$9*(D$24/365))*NORMSDIST(-(((LN($B9/'Assumptions'!$B$5)+('Assumptions'!$B$9+0.5*'Assumptions'!$B$8^2)*(D$24/365))/('Assumptions'!$B$8*SQRT((D$24/365))))-'Assumptions'!$B$8*SQRT((D$24/365))))-$B9*NORMSDIST(-((LN($B9/'Assumptions'!$B$5)+('Assumptions'!$B$9+0.5*'Assumptions'!$B$8^2)*(D$24/365))/('Assumptions'!$B$8*SQRT((D$24/365))))))</f>
        <v/>
      </c>
      <c r="E9" s="26">
        <f>IF(E$24=0,MAX('Assumptions'!$B$5-$B9,0),'Assumptions'!$B$5*EXP(-'Assumptions'!$B$9*(E$24/365))*NORMSDIST(-(((LN($B9/'Assumptions'!$B$5)+('Assumptions'!$B$9+0.5*'Assumptions'!$B$8^2)*(E$24/365))/('Assumptions'!$B$8*SQRT((E$24/365))))-'Assumptions'!$B$8*SQRT((E$24/365))))-$B9*NORMSDIST(-((LN($B9/'Assumptions'!$B$5)+('Assumptions'!$B$9+0.5*'Assumptions'!$B$8^2)*(E$24/365))/('Assumptions'!$B$8*SQRT((E$24/365))))))</f>
        <v/>
      </c>
      <c r="F9" s="26">
        <f>IF(F$24=0,MAX('Assumptions'!$B$5-$B9,0),'Assumptions'!$B$5*EXP(-'Assumptions'!$B$9*(F$24/365))*NORMSDIST(-(((LN($B9/'Assumptions'!$B$5)+('Assumptions'!$B$9+0.5*'Assumptions'!$B$8^2)*(F$24/365))/('Assumptions'!$B$8*SQRT((F$24/365))))-'Assumptions'!$B$8*SQRT((F$24/365))))-$B9*NORMSDIST(-((LN($B9/'Assumptions'!$B$5)+('Assumptions'!$B$9+0.5*'Assumptions'!$B$8^2)*(F$24/365))/('Assumptions'!$B$8*SQRT((F$24/365))))))</f>
        <v/>
      </c>
      <c r="G9" s="26">
        <f>IF(G$24=0,MAX('Assumptions'!$B$5-$B9,0),'Assumptions'!$B$5*EXP(-'Assumptions'!$B$9*(G$24/365))*NORMSDIST(-(((LN($B9/'Assumptions'!$B$5)+('Assumptions'!$B$9+0.5*'Assumptions'!$B$8^2)*(G$24/365))/('Assumptions'!$B$8*SQRT((G$24/365))))-'Assumptions'!$B$8*SQRT((G$24/365))))-$B9*NORMSDIST(-((LN($B9/'Assumptions'!$B$5)+('Assumptions'!$B$9+0.5*'Assumptions'!$B$8^2)*(G$24/365))/('Assumptions'!$B$8*SQRT((G$24/365))))))</f>
        <v/>
      </c>
      <c r="H9" s="26">
        <f>IF(H$24=0,MAX('Assumptions'!$B$5-$B9,0),'Assumptions'!$B$5*EXP(-'Assumptions'!$B$9*(H$24/365))*NORMSDIST(-(((LN($B9/'Assumptions'!$B$5)+('Assumptions'!$B$9+0.5*'Assumptions'!$B$8^2)*(H$24/365))/('Assumptions'!$B$8*SQRT((H$24/365))))-'Assumptions'!$B$8*SQRT((H$24/365))))-$B9*NORMSDIST(-((LN($B9/'Assumptions'!$B$5)+('Assumptions'!$B$9+0.5*'Assumptions'!$B$8^2)*(H$24/365))/('Assumptions'!$B$8*SQRT((H$24/365))))))</f>
        <v/>
      </c>
      <c r="I9" s="26">
        <f>IF(I$24=0,MAX('Assumptions'!$B$5-$B9,0),'Assumptions'!$B$5*EXP(-'Assumptions'!$B$9*(I$24/365))*NORMSDIST(-(((LN($B9/'Assumptions'!$B$5)+('Assumptions'!$B$9+0.5*'Assumptions'!$B$8^2)*(I$24/365))/('Assumptions'!$B$8*SQRT((I$24/365))))-'Assumptions'!$B$8*SQRT((I$24/365))))-$B9*NORMSDIST(-((LN($B9/'Assumptions'!$B$5)+('Assumptions'!$B$9+0.5*'Assumptions'!$B$8^2)*(I$24/365))/('Assumptions'!$B$8*SQRT((I$24/365))))))</f>
        <v/>
      </c>
      <c r="J9" s="26">
        <f>IF(J$24=0,MAX('Assumptions'!$B$5-$B9,0),'Assumptions'!$B$5*EXP(-'Assumptions'!$B$9*(J$24/365))*NORMSDIST(-(((LN($B9/'Assumptions'!$B$5)+('Assumptions'!$B$9+0.5*'Assumptions'!$B$8^2)*(J$24/365))/('Assumptions'!$B$8*SQRT((J$24/365))))-'Assumptions'!$B$8*SQRT((J$24/365))))-$B9*NORMSDIST(-((LN($B9/'Assumptions'!$B$5)+('Assumptions'!$B$9+0.5*'Assumptions'!$B$8^2)*(J$24/365))/('Assumptions'!$B$8*SQRT((J$24/365))))))</f>
        <v/>
      </c>
      <c r="K9" s="26">
        <f>IF(K$24=0,MAX('Assumptions'!$B$5-$B9,0),'Assumptions'!$B$5*EXP(-'Assumptions'!$B$9*(K$24/365))*NORMSDIST(-(((LN($B9/'Assumptions'!$B$5)+('Assumptions'!$B$9+0.5*'Assumptions'!$B$8^2)*(K$24/365))/('Assumptions'!$B$8*SQRT((K$24/365))))-'Assumptions'!$B$8*SQRT((K$24/365))))-$B9*NORMSDIST(-((LN($B9/'Assumptions'!$B$5)+('Assumptions'!$B$9+0.5*'Assumptions'!$B$8^2)*(K$24/365))/('Assumptions'!$B$8*SQRT((K$24/365))))))</f>
        <v/>
      </c>
      <c r="L9" s="26">
        <f>IF(L$24=0,MAX('Assumptions'!$B$5-$B9,0),'Assumptions'!$B$5*EXP(-'Assumptions'!$B$9*(L$24/365))*NORMSDIST(-(((LN($B9/'Assumptions'!$B$5)+('Assumptions'!$B$9+0.5*'Assumptions'!$B$8^2)*(L$24/365))/('Assumptions'!$B$8*SQRT((L$24/365))))-'Assumptions'!$B$8*SQRT((L$24/365))))-$B9*NORMSDIST(-((LN($B9/'Assumptions'!$B$5)+('Assumptions'!$B$9+0.5*'Assumptions'!$B$8^2)*(L$24/365))/('Assumptions'!$B$8*SQRT((L$24/365))))))</f>
        <v/>
      </c>
      <c r="M9" s="26">
        <f>IF(M$24=0,MAX('Assumptions'!$B$5-$B9,0),'Assumptions'!$B$5*EXP(-'Assumptions'!$B$9*(M$24/365))*NORMSDIST(-(((LN($B9/'Assumptions'!$B$5)+('Assumptions'!$B$9+0.5*'Assumptions'!$B$8^2)*(M$24/365))/('Assumptions'!$B$8*SQRT((M$24/365))))-'Assumptions'!$B$8*SQRT((M$24/365))))-$B9*NORMSDIST(-((LN($B9/'Assumptions'!$B$5)+('Assumptions'!$B$9+0.5*'Assumptions'!$B$8^2)*(M$24/365))/('Assumptions'!$B$8*SQRT((M$24/365))))))</f>
        <v/>
      </c>
      <c r="N9" s="26">
        <f>IF(N$24=0,MAX('Assumptions'!$B$5-$B9,0),'Assumptions'!$B$5*EXP(-'Assumptions'!$B$9*(N$24/365))*NORMSDIST(-(((LN($B9/'Assumptions'!$B$5)+('Assumptions'!$B$9+0.5*'Assumptions'!$B$8^2)*(N$24/365))/('Assumptions'!$B$8*SQRT((N$24/365))))-'Assumptions'!$B$8*SQRT((N$24/365))))-$B9*NORMSDIST(-((LN($B9/'Assumptions'!$B$5)+('Assumptions'!$B$9+0.5*'Assumptions'!$B$8^2)*(N$24/365))/('Assumptions'!$B$8*SQRT((N$24/365))))))</f>
        <v/>
      </c>
      <c r="O9" s="26">
        <f>IF(O$24=0,MAX('Assumptions'!$B$5-$B9,0),'Assumptions'!$B$5*EXP(-'Assumptions'!$B$9*(O$24/365))*NORMSDIST(-(((LN($B9/'Assumptions'!$B$5)+('Assumptions'!$B$9+0.5*'Assumptions'!$B$8^2)*(O$24/365))/('Assumptions'!$B$8*SQRT((O$24/365))))-'Assumptions'!$B$8*SQRT((O$24/365))))-$B9*NORMSDIST(-((LN($B9/'Assumptions'!$B$5)+('Assumptions'!$B$9+0.5*'Assumptions'!$B$8^2)*(O$24/365))/('Assumptions'!$B$8*SQRT((O$24/365))))))</f>
        <v/>
      </c>
      <c r="P9" s="26">
        <f>IF(P$24=0,MAX('Assumptions'!$B$5-$B9,0),'Assumptions'!$B$5*EXP(-'Assumptions'!$B$9*(P$24/365))*NORMSDIST(-(((LN($B9/'Assumptions'!$B$5)+('Assumptions'!$B$9+0.5*'Assumptions'!$B$8^2)*(P$24/365))/('Assumptions'!$B$8*SQRT((P$24/365))))-'Assumptions'!$B$8*SQRT((P$24/365))))-$B9*NORMSDIST(-((LN($B9/'Assumptions'!$B$5)+('Assumptions'!$B$9+0.5*'Assumptions'!$B$8^2)*(P$24/365))/('Assumptions'!$B$8*SQRT((P$24/365))))))</f>
        <v/>
      </c>
      <c r="Q9" s="26">
        <f>IF(Q$24=0,MAX('Assumptions'!$B$5-$B9,0),'Assumptions'!$B$5*EXP(-'Assumptions'!$B$9*(Q$24/365))*NORMSDIST(-(((LN($B9/'Assumptions'!$B$5)+('Assumptions'!$B$9+0.5*'Assumptions'!$B$8^2)*(Q$24/365))/('Assumptions'!$B$8*SQRT((Q$24/365))))-'Assumptions'!$B$8*SQRT((Q$24/365))))-$B9*NORMSDIST(-((LN($B9/'Assumptions'!$B$5)+('Assumptions'!$B$9+0.5*'Assumptions'!$B$8^2)*(Q$24/365))/('Assumptions'!$B$8*SQRT((Q$24/365))))))</f>
        <v/>
      </c>
      <c r="R9" s="26">
        <f>IF(R$24=0,MAX('Assumptions'!$B$5-$B9,0),'Assumptions'!$B$5*EXP(-'Assumptions'!$B$9*(R$24/365))*NORMSDIST(-(((LN($B9/'Assumptions'!$B$5)+('Assumptions'!$B$9+0.5*'Assumptions'!$B$8^2)*(R$24/365))/('Assumptions'!$B$8*SQRT((R$24/365))))-'Assumptions'!$B$8*SQRT((R$24/365))))-$B9*NORMSDIST(-((LN($B9/'Assumptions'!$B$5)+('Assumptions'!$B$9+0.5*'Assumptions'!$B$8^2)*(R$24/365))/('Assumptions'!$B$8*SQRT((R$24/365))))))</f>
        <v/>
      </c>
      <c r="S9" s="26">
        <f>IF(S$24=0,MAX('Assumptions'!$B$5-$B9,0),'Assumptions'!$B$5*EXP(-'Assumptions'!$B$9*(S$24/365))*NORMSDIST(-(((LN($B9/'Assumptions'!$B$5)+('Assumptions'!$B$9+0.5*'Assumptions'!$B$8^2)*(S$24/365))/('Assumptions'!$B$8*SQRT((S$24/365))))-'Assumptions'!$B$8*SQRT((S$24/365))))-$B9*NORMSDIST(-((LN($B9/'Assumptions'!$B$5)+('Assumptions'!$B$9+0.5*'Assumptions'!$B$8^2)*(S$24/365))/('Assumptions'!$B$8*SQRT((S$24/365))))))</f>
        <v/>
      </c>
      <c r="T9" s="26">
        <f>IF(T$24=0,MAX('Assumptions'!$B$5-$B9,0),'Assumptions'!$B$5*EXP(-'Assumptions'!$B$9*(T$24/365))*NORMSDIST(-(((LN($B9/'Assumptions'!$B$5)+('Assumptions'!$B$9+0.5*'Assumptions'!$B$8^2)*(T$24/365))/('Assumptions'!$B$8*SQRT((T$24/365))))-'Assumptions'!$B$8*SQRT((T$24/365))))-$B9*NORMSDIST(-((LN($B9/'Assumptions'!$B$5)+('Assumptions'!$B$9+0.5*'Assumptions'!$B$8^2)*(T$24/365))/('Assumptions'!$B$8*SQRT((T$24/365))))))</f>
        <v/>
      </c>
      <c r="U9" s="26">
        <f>IF(U$24=0,MAX('Assumptions'!$B$5-$B9,0),'Assumptions'!$B$5*EXP(-'Assumptions'!$B$9*(U$24/365))*NORMSDIST(-(((LN($B9/'Assumptions'!$B$5)+('Assumptions'!$B$9+0.5*'Assumptions'!$B$8^2)*(U$24/365))/('Assumptions'!$B$8*SQRT((U$24/365))))-'Assumptions'!$B$8*SQRT((U$24/365))))-$B9*NORMSDIST(-((LN($B9/'Assumptions'!$B$5)+('Assumptions'!$B$9+0.5*'Assumptions'!$B$8^2)*(U$24/365))/('Assumptions'!$B$8*SQRT((U$24/365))))))</f>
        <v/>
      </c>
    </row>
    <row r="10" ht="22" customHeight="1">
      <c r="A10" s="15" t="n">
        <v>0.07000000000000001</v>
      </c>
      <c r="B10" s="26">
        <f>'Assumptions'!$B$4*(1-A10)</f>
        <v/>
      </c>
      <c r="C10" s="26">
        <f>IF(C$24=0,MAX('Assumptions'!$B$5-$B10,0),'Assumptions'!$B$5*EXP(-'Assumptions'!$B$9*(C$24/365))*NORMSDIST(-(((LN($B10/'Assumptions'!$B$5)+('Assumptions'!$B$9+0.5*'Assumptions'!$B$8^2)*(C$24/365))/('Assumptions'!$B$8*SQRT((C$24/365))))-'Assumptions'!$B$8*SQRT((C$24/365))))-$B10*NORMSDIST(-((LN($B10/'Assumptions'!$B$5)+('Assumptions'!$B$9+0.5*'Assumptions'!$B$8^2)*(C$24/365))/('Assumptions'!$B$8*SQRT((C$24/365))))))</f>
        <v/>
      </c>
      <c r="D10" s="26">
        <f>IF(D$24=0,MAX('Assumptions'!$B$5-$B10,0),'Assumptions'!$B$5*EXP(-'Assumptions'!$B$9*(D$24/365))*NORMSDIST(-(((LN($B10/'Assumptions'!$B$5)+('Assumptions'!$B$9+0.5*'Assumptions'!$B$8^2)*(D$24/365))/('Assumptions'!$B$8*SQRT((D$24/365))))-'Assumptions'!$B$8*SQRT((D$24/365))))-$B10*NORMSDIST(-((LN($B10/'Assumptions'!$B$5)+('Assumptions'!$B$9+0.5*'Assumptions'!$B$8^2)*(D$24/365))/('Assumptions'!$B$8*SQRT((D$24/365))))))</f>
        <v/>
      </c>
      <c r="E10" s="26">
        <f>IF(E$24=0,MAX('Assumptions'!$B$5-$B10,0),'Assumptions'!$B$5*EXP(-'Assumptions'!$B$9*(E$24/365))*NORMSDIST(-(((LN($B10/'Assumptions'!$B$5)+('Assumptions'!$B$9+0.5*'Assumptions'!$B$8^2)*(E$24/365))/('Assumptions'!$B$8*SQRT((E$24/365))))-'Assumptions'!$B$8*SQRT((E$24/365))))-$B10*NORMSDIST(-((LN($B10/'Assumptions'!$B$5)+('Assumptions'!$B$9+0.5*'Assumptions'!$B$8^2)*(E$24/365))/('Assumptions'!$B$8*SQRT((E$24/365))))))</f>
        <v/>
      </c>
      <c r="F10" s="26">
        <f>IF(F$24=0,MAX('Assumptions'!$B$5-$B10,0),'Assumptions'!$B$5*EXP(-'Assumptions'!$B$9*(F$24/365))*NORMSDIST(-(((LN($B10/'Assumptions'!$B$5)+('Assumptions'!$B$9+0.5*'Assumptions'!$B$8^2)*(F$24/365))/('Assumptions'!$B$8*SQRT((F$24/365))))-'Assumptions'!$B$8*SQRT((F$24/365))))-$B10*NORMSDIST(-((LN($B10/'Assumptions'!$B$5)+('Assumptions'!$B$9+0.5*'Assumptions'!$B$8^2)*(F$24/365))/('Assumptions'!$B$8*SQRT((F$24/365))))))</f>
        <v/>
      </c>
      <c r="G10" s="26">
        <f>IF(G$24=0,MAX('Assumptions'!$B$5-$B10,0),'Assumptions'!$B$5*EXP(-'Assumptions'!$B$9*(G$24/365))*NORMSDIST(-(((LN($B10/'Assumptions'!$B$5)+('Assumptions'!$B$9+0.5*'Assumptions'!$B$8^2)*(G$24/365))/('Assumptions'!$B$8*SQRT((G$24/365))))-'Assumptions'!$B$8*SQRT((G$24/365))))-$B10*NORMSDIST(-((LN($B10/'Assumptions'!$B$5)+('Assumptions'!$B$9+0.5*'Assumptions'!$B$8^2)*(G$24/365))/('Assumptions'!$B$8*SQRT((G$24/365))))))</f>
        <v/>
      </c>
      <c r="H10" s="26">
        <f>IF(H$24=0,MAX('Assumptions'!$B$5-$B10,0),'Assumptions'!$B$5*EXP(-'Assumptions'!$B$9*(H$24/365))*NORMSDIST(-(((LN($B10/'Assumptions'!$B$5)+('Assumptions'!$B$9+0.5*'Assumptions'!$B$8^2)*(H$24/365))/('Assumptions'!$B$8*SQRT((H$24/365))))-'Assumptions'!$B$8*SQRT((H$24/365))))-$B10*NORMSDIST(-((LN($B10/'Assumptions'!$B$5)+('Assumptions'!$B$9+0.5*'Assumptions'!$B$8^2)*(H$24/365))/('Assumptions'!$B$8*SQRT((H$24/365))))))</f>
        <v/>
      </c>
      <c r="I10" s="26">
        <f>IF(I$24=0,MAX('Assumptions'!$B$5-$B10,0),'Assumptions'!$B$5*EXP(-'Assumptions'!$B$9*(I$24/365))*NORMSDIST(-(((LN($B10/'Assumptions'!$B$5)+('Assumptions'!$B$9+0.5*'Assumptions'!$B$8^2)*(I$24/365))/('Assumptions'!$B$8*SQRT((I$24/365))))-'Assumptions'!$B$8*SQRT((I$24/365))))-$B10*NORMSDIST(-((LN($B10/'Assumptions'!$B$5)+('Assumptions'!$B$9+0.5*'Assumptions'!$B$8^2)*(I$24/365))/('Assumptions'!$B$8*SQRT((I$24/365))))))</f>
        <v/>
      </c>
      <c r="J10" s="26">
        <f>IF(J$24=0,MAX('Assumptions'!$B$5-$B10,0),'Assumptions'!$B$5*EXP(-'Assumptions'!$B$9*(J$24/365))*NORMSDIST(-(((LN($B10/'Assumptions'!$B$5)+('Assumptions'!$B$9+0.5*'Assumptions'!$B$8^2)*(J$24/365))/('Assumptions'!$B$8*SQRT((J$24/365))))-'Assumptions'!$B$8*SQRT((J$24/365))))-$B10*NORMSDIST(-((LN($B10/'Assumptions'!$B$5)+('Assumptions'!$B$9+0.5*'Assumptions'!$B$8^2)*(J$24/365))/('Assumptions'!$B$8*SQRT((J$24/365))))))</f>
        <v/>
      </c>
      <c r="K10" s="26">
        <f>IF(K$24=0,MAX('Assumptions'!$B$5-$B10,0),'Assumptions'!$B$5*EXP(-'Assumptions'!$B$9*(K$24/365))*NORMSDIST(-(((LN($B10/'Assumptions'!$B$5)+('Assumptions'!$B$9+0.5*'Assumptions'!$B$8^2)*(K$24/365))/('Assumptions'!$B$8*SQRT((K$24/365))))-'Assumptions'!$B$8*SQRT((K$24/365))))-$B10*NORMSDIST(-((LN($B10/'Assumptions'!$B$5)+('Assumptions'!$B$9+0.5*'Assumptions'!$B$8^2)*(K$24/365))/('Assumptions'!$B$8*SQRT((K$24/365))))))</f>
        <v/>
      </c>
      <c r="L10" s="26">
        <f>IF(L$24=0,MAX('Assumptions'!$B$5-$B10,0),'Assumptions'!$B$5*EXP(-'Assumptions'!$B$9*(L$24/365))*NORMSDIST(-(((LN($B10/'Assumptions'!$B$5)+('Assumptions'!$B$9+0.5*'Assumptions'!$B$8^2)*(L$24/365))/('Assumptions'!$B$8*SQRT((L$24/365))))-'Assumptions'!$B$8*SQRT((L$24/365))))-$B10*NORMSDIST(-((LN($B10/'Assumptions'!$B$5)+('Assumptions'!$B$9+0.5*'Assumptions'!$B$8^2)*(L$24/365))/('Assumptions'!$B$8*SQRT((L$24/365))))))</f>
        <v/>
      </c>
      <c r="M10" s="26">
        <f>IF(M$24=0,MAX('Assumptions'!$B$5-$B10,0),'Assumptions'!$B$5*EXP(-'Assumptions'!$B$9*(M$24/365))*NORMSDIST(-(((LN($B10/'Assumptions'!$B$5)+('Assumptions'!$B$9+0.5*'Assumptions'!$B$8^2)*(M$24/365))/('Assumptions'!$B$8*SQRT((M$24/365))))-'Assumptions'!$B$8*SQRT((M$24/365))))-$B10*NORMSDIST(-((LN($B10/'Assumptions'!$B$5)+('Assumptions'!$B$9+0.5*'Assumptions'!$B$8^2)*(M$24/365))/('Assumptions'!$B$8*SQRT((M$24/365))))))</f>
        <v/>
      </c>
      <c r="N10" s="26">
        <f>IF(N$24=0,MAX('Assumptions'!$B$5-$B10,0),'Assumptions'!$B$5*EXP(-'Assumptions'!$B$9*(N$24/365))*NORMSDIST(-(((LN($B10/'Assumptions'!$B$5)+('Assumptions'!$B$9+0.5*'Assumptions'!$B$8^2)*(N$24/365))/('Assumptions'!$B$8*SQRT((N$24/365))))-'Assumptions'!$B$8*SQRT((N$24/365))))-$B10*NORMSDIST(-((LN($B10/'Assumptions'!$B$5)+('Assumptions'!$B$9+0.5*'Assumptions'!$B$8^2)*(N$24/365))/('Assumptions'!$B$8*SQRT((N$24/365))))))</f>
        <v/>
      </c>
      <c r="O10" s="26">
        <f>IF(O$24=0,MAX('Assumptions'!$B$5-$B10,0),'Assumptions'!$B$5*EXP(-'Assumptions'!$B$9*(O$24/365))*NORMSDIST(-(((LN($B10/'Assumptions'!$B$5)+('Assumptions'!$B$9+0.5*'Assumptions'!$B$8^2)*(O$24/365))/('Assumptions'!$B$8*SQRT((O$24/365))))-'Assumptions'!$B$8*SQRT((O$24/365))))-$B10*NORMSDIST(-((LN($B10/'Assumptions'!$B$5)+('Assumptions'!$B$9+0.5*'Assumptions'!$B$8^2)*(O$24/365))/('Assumptions'!$B$8*SQRT((O$24/365))))))</f>
        <v/>
      </c>
      <c r="P10" s="26">
        <f>IF(P$24=0,MAX('Assumptions'!$B$5-$B10,0),'Assumptions'!$B$5*EXP(-'Assumptions'!$B$9*(P$24/365))*NORMSDIST(-(((LN($B10/'Assumptions'!$B$5)+('Assumptions'!$B$9+0.5*'Assumptions'!$B$8^2)*(P$24/365))/('Assumptions'!$B$8*SQRT((P$24/365))))-'Assumptions'!$B$8*SQRT((P$24/365))))-$B10*NORMSDIST(-((LN($B10/'Assumptions'!$B$5)+('Assumptions'!$B$9+0.5*'Assumptions'!$B$8^2)*(P$24/365))/('Assumptions'!$B$8*SQRT((P$24/365))))))</f>
        <v/>
      </c>
      <c r="Q10" s="26">
        <f>IF(Q$24=0,MAX('Assumptions'!$B$5-$B10,0),'Assumptions'!$B$5*EXP(-'Assumptions'!$B$9*(Q$24/365))*NORMSDIST(-(((LN($B10/'Assumptions'!$B$5)+('Assumptions'!$B$9+0.5*'Assumptions'!$B$8^2)*(Q$24/365))/('Assumptions'!$B$8*SQRT((Q$24/365))))-'Assumptions'!$B$8*SQRT((Q$24/365))))-$B10*NORMSDIST(-((LN($B10/'Assumptions'!$B$5)+('Assumptions'!$B$9+0.5*'Assumptions'!$B$8^2)*(Q$24/365))/('Assumptions'!$B$8*SQRT((Q$24/365))))))</f>
        <v/>
      </c>
      <c r="R10" s="26">
        <f>IF(R$24=0,MAX('Assumptions'!$B$5-$B10,0),'Assumptions'!$B$5*EXP(-'Assumptions'!$B$9*(R$24/365))*NORMSDIST(-(((LN($B10/'Assumptions'!$B$5)+('Assumptions'!$B$9+0.5*'Assumptions'!$B$8^2)*(R$24/365))/('Assumptions'!$B$8*SQRT((R$24/365))))-'Assumptions'!$B$8*SQRT((R$24/365))))-$B10*NORMSDIST(-((LN($B10/'Assumptions'!$B$5)+('Assumptions'!$B$9+0.5*'Assumptions'!$B$8^2)*(R$24/365))/('Assumptions'!$B$8*SQRT((R$24/365))))))</f>
        <v/>
      </c>
      <c r="S10" s="26">
        <f>IF(S$24=0,MAX('Assumptions'!$B$5-$B10,0),'Assumptions'!$B$5*EXP(-'Assumptions'!$B$9*(S$24/365))*NORMSDIST(-(((LN($B10/'Assumptions'!$B$5)+('Assumptions'!$B$9+0.5*'Assumptions'!$B$8^2)*(S$24/365))/('Assumptions'!$B$8*SQRT((S$24/365))))-'Assumptions'!$B$8*SQRT((S$24/365))))-$B10*NORMSDIST(-((LN($B10/'Assumptions'!$B$5)+('Assumptions'!$B$9+0.5*'Assumptions'!$B$8^2)*(S$24/365))/('Assumptions'!$B$8*SQRT((S$24/365))))))</f>
        <v/>
      </c>
      <c r="T10" s="26">
        <f>IF(T$24=0,MAX('Assumptions'!$B$5-$B10,0),'Assumptions'!$B$5*EXP(-'Assumptions'!$B$9*(T$24/365))*NORMSDIST(-(((LN($B10/'Assumptions'!$B$5)+('Assumptions'!$B$9+0.5*'Assumptions'!$B$8^2)*(T$24/365))/('Assumptions'!$B$8*SQRT((T$24/365))))-'Assumptions'!$B$8*SQRT((T$24/365))))-$B10*NORMSDIST(-((LN($B10/'Assumptions'!$B$5)+('Assumptions'!$B$9+0.5*'Assumptions'!$B$8^2)*(T$24/365))/('Assumptions'!$B$8*SQRT((T$24/365))))))</f>
        <v/>
      </c>
      <c r="U10" s="26">
        <f>IF(U$24=0,MAX('Assumptions'!$B$5-$B10,0),'Assumptions'!$B$5*EXP(-'Assumptions'!$B$9*(U$24/365))*NORMSDIST(-(((LN($B10/'Assumptions'!$B$5)+('Assumptions'!$B$9+0.5*'Assumptions'!$B$8^2)*(U$24/365))/('Assumptions'!$B$8*SQRT((U$24/365))))-'Assumptions'!$B$8*SQRT((U$24/365))))-$B10*NORMSDIST(-((LN($B10/'Assumptions'!$B$5)+('Assumptions'!$B$9+0.5*'Assumptions'!$B$8^2)*(U$24/365))/('Assumptions'!$B$8*SQRT((U$24/365))))))</f>
        <v/>
      </c>
    </row>
    <row r="11" ht="22" customHeight="1">
      <c r="A11" s="15" t="n">
        <v>0.08</v>
      </c>
      <c r="B11" s="26">
        <f>'Assumptions'!$B$4*(1-A11)</f>
        <v/>
      </c>
      <c r="C11" s="26">
        <f>IF(C$24=0,MAX('Assumptions'!$B$5-$B11,0),'Assumptions'!$B$5*EXP(-'Assumptions'!$B$9*(C$24/365))*NORMSDIST(-(((LN($B11/'Assumptions'!$B$5)+('Assumptions'!$B$9+0.5*'Assumptions'!$B$8^2)*(C$24/365))/('Assumptions'!$B$8*SQRT((C$24/365))))-'Assumptions'!$B$8*SQRT((C$24/365))))-$B11*NORMSDIST(-((LN($B11/'Assumptions'!$B$5)+('Assumptions'!$B$9+0.5*'Assumptions'!$B$8^2)*(C$24/365))/('Assumptions'!$B$8*SQRT((C$24/365))))))</f>
        <v/>
      </c>
      <c r="D11" s="26">
        <f>IF(D$24=0,MAX('Assumptions'!$B$5-$B11,0),'Assumptions'!$B$5*EXP(-'Assumptions'!$B$9*(D$24/365))*NORMSDIST(-(((LN($B11/'Assumptions'!$B$5)+('Assumptions'!$B$9+0.5*'Assumptions'!$B$8^2)*(D$24/365))/('Assumptions'!$B$8*SQRT((D$24/365))))-'Assumptions'!$B$8*SQRT((D$24/365))))-$B11*NORMSDIST(-((LN($B11/'Assumptions'!$B$5)+('Assumptions'!$B$9+0.5*'Assumptions'!$B$8^2)*(D$24/365))/('Assumptions'!$B$8*SQRT((D$24/365))))))</f>
        <v/>
      </c>
      <c r="E11" s="26">
        <f>IF(E$24=0,MAX('Assumptions'!$B$5-$B11,0),'Assumptions'!$B$5*EXP(-'Assumptions'!$B$9*(E$24/365))*NORMSDIST(-(((LN($B11/'Assumptions'!$B$5)+('Assumptions'!$B$9+0.5*'Assumptions'!$B$8^2)*(E$24/365))/('Assumptions'!$B$8*SQRT((E$24/365))))-'Assumptions'!$B$8*SQRT((E$24/365))))-$B11*NORMSDIST(-((LN($B11/'Assumptions'!$B$5)+('Assumptions'!$B$9+0.5*'Assumptions'!$B$8^2)*(E$24/365))/('Assumptions'!$B$8*SQRT((E$24/365))))))</f>
        <v/>
      </c>
      <c r="F11" s="26">
        <f>IF(F$24=0,MAX('Assumptions'!$B$5-$B11,0),'Assumptions'!$B$5*EXP(-'Assumptions'!$B$9*(F$24/365))*NORMSDIST(-(((LN($B11/'Assumptions'!$B$5)+('Assumptions'!$B$9+0.5*'Assumptions'!$B$8^2)*(F$24/365))/('Assumptions'!$B$8*SQRT((F$24/365))))-'Assumptions'!$B$8*SQRT((F$24/365))))-$B11*NORMSDIST(-((LN($B11/'Assumptions'!$B$5)+('Assumptions'!$B$9+0.5*'Assumptions'!$B$8^2)*(F$24/365))/('Assumptions'!$B$8*SQRT((F$24/365))))))</f>
        <v/>
      </c>
      <c r="G11" s="26">
        <f>IF(G$24=0,MAX('Assumptions'!$B$5-$B11,0),'Assumptions'!$B$5*EXP(-'Assumptions'!$B$9*(G$24/365))*NORMSDIST(-(((LN($B11/'Assumptions'!$B$5)+('Assumptions'!$B$9+0.5*'Assumptions'!$B$8^2)*(G$24/365))/('Assumptions'!$B$8*SQRT((G$24/365))))-'Assumptions'!$B$8*SQRT((G$24/365))))-$B11*NORMSDIST(-((LN($B11/'Assumptions'!$B$5)+('Assumptions'!$B$9+0.5*'Assumptions'!$B$8^2)*(G$24/365))/('Assumptions'!$B$8*SQRT((G$24/365))))))</f>
        <v/>
      </c>
      <c r="H11" s="26">
        <f>IF(H$24=0,MAX('Assumptions'!$B$5-$B11,0),'Assumptions'!$B$5*EXP(-'Assumptions'!$B$9*(H$24/365))*NORMSDIST(-(((LN($B11/'Assumptions'!$B$5)+('Assumptions'!$B$9+0.5*'Assumptions'!$B$8^2)*(H$24/365))/('Assumptions'!$B$8*SQRT((H$24/365))))-'Assumptions'!$B$8*SQRT((H$24/365))))-$B11*NORMSDIST(-((LN($B11/'Assumptions'!$B$5)+('Assumptions'!$B$9+0.5*'Assumptions'!$B$8^2)*(H$24/365))/('Assumptions'!$B$8*SQRT((H$24/365))))))</f>
        <v/>
      </c>
      <c r="I11" s="26">
        <f>IF(I$24=0,MAX('Assumptions'!$B$5-$B11,0),'Assumptions'!$B$5*EXP(-'Assumptions'!$B$9*(I$24/365))*NORMSDIST(-(((LN($B11/'Assumptions'!$B$5)+('Assumptions'!$B$9+0.5*'Assumptions'!$B$8^2)*(I$24/365))/('Assumptions'!$B$8*SQRT((I$24/365))))-'Assumptions'!$B$8*SQRT((I$24/365))))-$B11*NORMSDIST(-((LN($B11/'Assumptions'!$B$5)+('Assumptions'!$B$9+0.5*'Assumptions'!$B$8^2)*(I$24/365))/('Assumptions'!$B$8*SQRT((I$24/365))))))</f>
        <v/>
      </c>
      <c r="J11" s="26">
        <f>IF(J$24=0,MAX('Assumptions'!$B$5-$B11,0),'Assumptions'!$B$5*EXP(-'Assumptions'!$B$9*(J$24/365))*NORMSDIST(-(((LN($B11/'Assumptions'!$B$5)+('Assumptions'!$B$9+0.5*'Assumptions'!$B$8^2)*(J$24/365))/('Assumptions'!$B$8*SQRT((J$24/365))))-'Assumptions'!$B$8*SQRT((J$24/365))))-$B11*NORMSDIST(-((LN($B11/'Assumptions'!$B$5)+('Assumptions'!$B$9+0.5*'Assumptions'!$B$8^2)*(J$24/365))/('Assumptions'!$B$8*SQRT((J$24/365))))))</f>
        <v/>
      </c>
      <c r="K11" s="26">
        <f>IF(K$24=0,MAX('Assumptions'!$B$5-$B11,0),'Assumptions'!$B$5*EXP(-'Assumptions'!$B$9*(K$24/365))*NORMSDIST(-(((LN($B11/'Assumptions'!$B$5)+('Assumptions'!$B$9+0.5*'Assumptions'!$B$8^2)*(K$24/365))/('Assumptions'!$B$8*SQRT((K$24/365))))-'Assumptions'!$B$8*SQRT((K$24/365))))-$B11*NORMSDIST(-((LN($B11/'Assumptions'!$B$5)+('Assumptions'!$B$9+0.5*'Assumptions'!$B$8^2)*(K$24/365))/('Assumptions'!$B$8*SQRT((K$24/365))))))</f>
        <v/>
      </c>
      <c r="L11" s="26">
        <f>IF(L$24=0,MAX('Assumptions'!$B$5-$B11,0),'Assumptions'!$B$5*EXP(-'Assumptions'!$B$9*(L$24/365))*NORMSDIST(-(((LN($B11/'Assumptions'!$B$5)+('Assumptions'!$B$9+0.5*'Assumptions'!$B$8^2)*(L$24/365))/('Assumptions'!$B$8*SQRT((L$24/365))))-'Assumptions'!$B$8*SQRT((L$24/365))))-$B11*NORMSDIST(-((LN($B11/'Assumptions'!$B$5)+('Assumptions'!$B$9+0.5*'Assumptions'!$B$8^2)*(L$24/365))/('Assumptions'!$B$8*SQRT((L$24/365))))))</f>
        <v/>
      </c>
      <c r="M11" s="26">
        <f>IF(M$24=0,MAX('Assumptions'!$B$5-$B11,0),'Assumptions'!$B$5*EXP(-'Assumptions'!$B$9*(M$24/365))*NORMSDIST(-(((LN($B11/'Assumptions'!$B$5)+('Assumptions'!$B$9+0.5*'Assumptions'!$B$8^2)*(M$24/365))/('Assumptions'!$B$8*SQRT((M$24/365))))-'Assumptions'!$B$8*SQRT((M$24/365))))-$B11*NORMSDIST(-((LN($B11/'Assumptions'!$B$5)+('Assumptions'!$B$9+0.5*'Assumptions'!$B$8^2)*(M$24/365))/('Assumptions'!$B$8*SQRT((M$24/365))))))</f>
        <v/>
      </c>
      <c r="N11" s="26">
        <f>IF(N$24=0,MAX('Assumptions'!$B$5-$B11,0),'Assumptions'!$B$5*EXP(-'Assumptions'!$B$9*(N$24/365))*NORMSDIST(-(((LN($B11/'Assumptions'!$B$5)+('Assumptions'!$B$9+0.5*'Assumptions'!$B$8^2)*(N$24/365))/('Assumptions'!$B$8*SQRT((N$24/365))))-'Assumptions'!$B$8*SQRT((N$24/365))))-$B11*NORMSDIST(-((LN($B11/'Assumptions'!$B$5)+('Assumptions'!$B$9+0.5*'Assumptions'!$B$8^2)*(N$24/365))/('Assumptions'!$B$8*SQRT((N$24/365))))))</f>
        <v/>
      </c>
      <c r="O11" s="26">
        <f>IF(O$24=0,MAX('Assumptions'!$B$5-$B11,0),'Assumptions'!$B$5*EXP(-'Assumptions'!$B$9*(O$24/365))*NORMSDIST(-(((LN($B11/'Assumptions'!$B$5)+('Assumptions'!$B$9+0.5*'Assumptions'!$B$8^2)*(O$24/365))/('Assumptions'!$B$8*SQRT((O$24/365))))-'Assumptions'!$B$8*SQRT((O$24/365))))-$B11*NORMSDIST(-((LN($B11/'Assumptions'!$B$5)+('Assumptions'!$B$9+0.5*'Assumptions'!$B$8^2)*(O$24/365))/('Assumptions'!$B$8*SQRT((O$24/365))))))</f>
        <v/>
      </c>
      <c r="P11" s="26">
        <f>IF(P$24=0,MAX('Assumptions'!$B$5-$B11,0),'Assumptions'!$B$5*EXP(-'Assumptions'!$B$9*(P$24/365))*NORMSDIST(-(((LN($B11/'Assumptions'!$B$5)+('Assumptions'!$B$9+0.5*'Assumptions'!$B$8^2)*(P$24/365))/('Assumptions'!$B$8*SQRT((P$24/365))))-'Assumptions'!$B$8*SQRT((P$24/365))))-$B11*NORMSDIST(-((LN($B11/'Assumptions'!$B$5)+('Assumptions'!$B$9+0.5*'Assumptions'!$B$8^2)*(P$24/365))/('Assumptions'!$B$8*SQRT((P$24/365))))))</f>
        <v/>
      </c>
      <c r="Q11" s="26">
        <f>IF(Q$24=0,MAX('Assumptions'!$B$5-$B11,0),'Assumptions'!$B$5*EXP(-'Assumptions'!$B$9*(Q$24/365))*NORMSDIST(-(((LN($B11/'Assumptions'!$B$5)+('Assumptions'!$B$9+0.5*'Assumptions'!$B$8^2)*(Q$24/365))/('Assumptions'!$B$8*SQRT((Q$24/365))))-'Assumptions'!$B$8*SQRT((Q$24/365))))-$B11*NORMSDIST(-((LN($B11/'Assumptions'!$B$5)+('Assumptions'!$B$9+0.5*'Assumptions'!$B$8^2)*(Q$24/365))/('Assumptions'!$B$8*SQRT((Q$24/365))))))</f>
        <v/>
      </c>
      <c r="R11" s="26">
        <f>IF(R$24=0,MAX('Assumptions'!$B$5-$B11,0),'Assumptions'!$B$5*EXP(-'Assumptions'!$B$9*(R$24/365))*NORMSDIST(-(((LN($B11/'Assumptions'!$B$5)+('Assumptions'!$B$9+0.5*'Assumptions'!$B$8^2)*(R$24/365))/('Assumptions'!$B$8*SQRT((R$24/365))))-'Assumptions'!$B$8*SQRT((R$24/365))))-$B11*NORMSDIST(-((LN($B11/'Assumptions'!$B$5)+('Assumptions'!$B$9+0.5*'Assumptions'!$B$8^2)*(R$24/365))/('Assumptions'!$B$8*SQRT((R$24/365))))))</f>
        <v/>
      </c>
      <c r="S11" s="26">
        <f>IF(S$24=0,MAX('Assumptions'!$B$5-$B11,0),'Assumptions'!$B$5*EXP(-'Assumptions'!$B$9*(S$24/365))*NORMSDIST(-(((LN($B11/'Assumptions'!$B$5)+('Assumptions'!$B$9+0.5*'Assumptions'!$B$8^2)*(S$24/365))/('Assumptions'!$B$8*SQRT((S$24/365))))-'Assumptions'!$B$8*SQRT((S$24/365))))-$B11*NORMSDIST(-((LN($B11/'Assumptions'!$B$5)+('Assumptions'!$B$9+0.5*'Assumptions'!$B$8^2)*(S$24/365))/('Assumptions'!$B$8*SQRT((S$24/365))))))</f>
        <v/>
      </c>
      <c r="T11" s="26">
        <f>IF(T$24=0,MAX('Assumptions'!$B$5-$B11,0),'Assumptions'!$B$5*EXP(-'Assumptions'!$B$9*(T$24/365))*NORMSDIST(-(((LN($B11/'Assumptions'!$B$5)+('Assumptions'!$B$9+0.5*'Assumptions'!$B$8^2)*(T$24/365))/('Assumptions'!$B$8*SQRT((T$24/365))))-'Assumptions'!$B$8*SQRT((T$24/365))))-$B11*NORMSDIST(-((LN($B11/'Assumptions'!$B$5)+('Assumptions'!$B$9+0.5*'Assumptions'!$B$8^2)*(T$24/365))/('Assumptions'!$B$8*SQRT((T$24/365))))))</f>
        <v/>
      </c>
      <c r="U11" s="26">
        <f>IF(U$24=0,MAX('Assumptions'!$B$5-$B11,0),'Assumptions'!$B$5*EXP(-'Assumptions'!$B$9*(U$24/365))*NORMSDIST(-(((LN($B11/'Assumptions'!$B$5)+('Assumptions'!$B$9+0.5*'Assumptions'!$B$8^2)*(U$24/365))/('Assumptions'!$B$8*SQRT((U$24/365))))-'Assumptions'!$B$8*SQRT((U$24/365))))-$B11*NORMSDIST(-((LN($B11/'Assumptions'!$B$5)+('Assumptions'!$B$9+0.5*'Assumptions'!$B$8^2)*(U$24/365))/('Assumptions'!$B$8*SQRT((U$24/365))))))</f>
        <v/>
      </c>
    </row>
    <row r="12" ht="22" customHeight="1">
      <c r="A12" s="15" t="n">
        <v>0.09</v>
      </c>
      <c r="B12" s="26">
        <f>'Assumptions'!$B$4*(1-A12)</f>
        <v/>
      </c>
      <c r="C12" s="26">
        <f>IF(C$24=0,MAX('Assumptions'!$B$5-$B12,0),'Assumptions'!$B$5*EXP(-'Assumptions'!$B$9*(C$24/365))*NORMSDIST(-(((LN($B12/'Assumptions'!$B$5)+('Assumptions'!$B$9+0.5*'Assumptions'!$B$8^2)*(C$24/365))/('Assumptions'!$B$8*SQRT((C$24/365))))-'Assumptions'!$B$8*SQRT((C$24/365))))-$B12*NORMSDIST(-((LN($B12/'Assumptions'!$B$5)+('Assumptions'!$B$9+0.5*'Assumptions'!$B$8^2)*(C$24/365))/('Assumptions'!$B$8*SQRT((C$24/365))))))</f>
        <v/>
      </c>
      <c r="D12" s="26">
        <f>IF(D$24=0,MAX('Assumptions'!$B$5-$B12,0),'Assumptions'!$B$5*EXP(-'Assumptions'!$B$9*(D$24/365))*NORMSDIST(-(((LN($B12/'Assumptions'!$B$5)+('Assumptions'!$B$9+0.5*'Assumptions'!$B$8^2)*(D$24/365))/('Assumptions'!$B$8*SQRT((D$24/365))))-'Assumptions'!$B$8*SQRT((D$24/365))))-$B12*NORMSDIST(-((LN($B12/'Assumptions'!$B$5)+('Assumptions'!$B$9+0.5*'Assumptions'!$B$8^2)*(D$24/365))/('Assumptions'!$B$8*SQRT((D$24/365))))))</f>
        <v/>
      </c>
      <c r="E12" s="26">
        <f>IF(E$24=0,MAX('Assumptions'!$B$5-$B12,0),'Assumptions'!$B$5*EXP(-'Assumptions'!$B$9*(E$24/365))*NORMSDIST(-(((LN($B12/'Assumptions'!$B$5)+('Assumptions'!$B$9+0.5*'Assumptions'!$B$8^2)*(E$24/365))/('Assumptions'!$B$8*SQRT((E$24/365))))-'Assumptions'!$B$8*SQRT((E$24/365))))-$B12*NORMSDIST(-((LN($B12/'Assumptions'!$B$5)+('Assumptions'!$B$9+0.5*'Assumptions'!$B$8^2)*(E$24/365))/('Assumptions'!$B$8*SQRT((E$24/365))))))</f>
        <v/>
      </c>
      <c r="F12" s="26">
        <f>IF(F$24=0,MAX('Assumptions'!$B$5-$B12,0),'Assumptions'!$B$5*EXP(-'Assumptions'!$B$9*(F$24/365))*NORMSDIST(-(((LN($B12/'Assumptions'!$B$5)+('Assumptions'!$B$9+0.5*'Assumptions'!$B$8^2)*(F$24/365))/('Assumptions'!$B$8*SQRT((F$24/365))))-'Assumptions'!$B$8*SQRT((F$24/365))))-$B12*NORMSDIST(-((LN($B12/'Assumptions'!$B$5)+('Assumptions'!$B$9+0.5*'Assumptions'!$B$8^2)*(F$24/365))/('Assumptions'!$B$8*SQRT((F$24/365))))))</f>
        <v/>
      </c>
      <c r="G12" s="26">
        <f>IF(G$24=0,MAX('Assumptions'!$B$5-$B12,0),'Assumptions'!$B$5*EXP(-'Assumptions'!$B$9*(G$24/365))*NORMSDIST(-(((LN($B12/'Assumptions'!$B$5)+('Assumptions'!$B$9+0.5*'Assumptions'!$B$8^2)*(G$24/365))/('Assumptions'!$B$8*SQRT((G$24/365))))-'Assumptions'!$B$8*SQRT((G$24/365))))-$B12*NORMSDIST(-((LN($B12/'Assumptions'!$B$5)+('Assumptions'!$B$9+0.5*'Assumptions'!$B$8^2)*(G$24/365))/('Assumptions'!$B$8*SQRT((G$24/365))))))</f>
        <v/>
      </c>
      <c r="H12" s="26">
        <f>IF(H$24=0,MAX('Assumptions'!$B$5-$B12,0),'Assumptions'!$B$5*EXP(-'Assumptions'!$B$9*(H$24/365))*NORMSDIST(-(((LN($B12/'Assumptions'!$B$5)+('Assumptions'!$B$9+0.5*'Assumptions'!$B$8^2)*(H$24/365))/('Assumptions'!$B$8*SQRT((H$24/365))))-'Assumptions'!$B$8*SQRT((H$24/365))))-$B12*NORMSDIST(-((LN($B12/'Assumptions'!$B$5)+('Assumptions'!$B$9+0.5*'Assumptions'!$B$8^2)*(H$24/365))/('Assumptions'!$B$8*SQRT((H$24/365))))))</f>
        <v/>
      </c>
      <c r="I12" s="26">
        <f>IF(I$24=0,MAX('Assumptions'!$B$5-$B12,0),'Assumptions'!$B$5*EXP(-'Assumptions'!$B$9*(I$24/365))*NORMSDIST(-(((LN($B12/'Assumptions'!$B$5)+('Assumptions'!$B$9+0.5*'Assumptions'!$B$8^2)*(I$24/365))/('Assumptions'!$B$8*SQRT((I$24/365))))-'Assumptions'!$B$8*SQRT((I$24/365))))-$B12*NORMSDIST(-((LN($B12/'Assumptions'!$B$5)+('Assumptions'!$B$9+0.5*'Assumptions'!$B$8^2)*(I$24/365))/('Assumptions'!$B$8*SQRT((I$24/365))))))</f>
        <v/>
      </c>
      <c r="J12" s="26">
        <f>IF(J$24=0,MAX('Assumptions'!$B$5-$B12,0),'Assumptions'!$B$5*EXP(-'Assumptions'!$B$9*(J$24/365))*NORMSDIST(-(((LN($B12/'Assumptions'!$B$5)+('Assumptions'!$B$9+0.5*'Assumptions'!$B$8^2)*(J$24/365))/('Assumptions'!$B$8*SQRT((J$24/365))))-'Assumptions'!$B$8*SQRT((J$24/365))))-$B12*NORMSDIST(-((LN($B12/'Assumptions'!$B$5)+('Assumptions'!$B$9+0.5*'Assumptions'!$B$8^2)*(J$24/365))/('Assumptions'!$B$8*SQRT((J$24/365))))))</f>
        <v/>
      </c>
      <c r="K12" s="26">
        <f>IF(K$24=0,MAX('Assumptions'!$B$5-$B12,0),'Assumptions'!$B$5*EXP(-'Assumptions'!$B$9*(K$24/365))*NORMSDIST(-(((LN($B12/'Assumptions'!$B$5)+('Assumptions'!$B$9+0.5*'Assumptions'!$B$8^2)*(K$24/365))/('Assumptions'!$B$8*SQRT((K$24/365))))-'Assumptions'!$B$8*SQRT((K$24/365))))-$B12*NORMSDIST(-((LN($B12/'Assumptions'!$B$5)+('Assumptions'!$B$9+0.5*'Assumptions'!$B$8^2)*(K$24/365))/('Assumptions'!$B$8*SQRT((K$24/365))))))</f>
        <v/>
      </c>
      <c r="L12" s="26">
        <f>IF(L$24=0,MAX('Assumptions'!$B$5-$B12,0),'Assumptions'!$B$5*EXP(-'Assumptions'!$B$9*(L$24/365))*NORMSDIST(-(((LN($B12/'Assumptions'!$B$5)+('Assumptions'!$B$9+0.5*'Assumptions'!$B$8^2)*(L$24/365))/('Assumptions'!$B$8*SQRT((L$24/365))))-'Assumptions'!$B$8*SQRT((L$24/365))))-$B12*NORMSDIST(-((LN($B12/'Assumptions'!$B$5)+('Assumptions'!$B$9+0.5*'Assumptions'!$B$8^2)*(L$24/365))/('Assumptions'!$B$8*SQRT((L$24/365))))))</f>
        <v/>
      </c>
      <c r="M12" s="26">
        <f>IF(M$24=0,MAX('Assumptions'!$B$5-$B12,0),'Assumptions'!$B$5*EXP(-'Assumptions'!$B$9*(M$24/365))*NORMSDIST(-(((LN($B12/'Assumptions'!$B$5)+('Assumptions'!$B$9+0.5*'Assumptions'!$B$8^2)*(M$24/365))/('Assumptions'!$B$8*SQRT((M$24/365))))-'Assumptions'!$B$8*SQRT((M$24/365))))-$B12*NORMSDIST(-((LN($B12/'Assumptions'!$B$5)+('Assumptions'!$B$9+0.5*'Assumptions'!$B$8^2)*(M$24/365))/('Assumptions'!$B$8*SQRT((M$24/365))))))</f>
        <v/>
      </c>
      <c r="N12" s="26">
        <f>IF(N$24=0,MAX('Assumptions'!$B$5-$B12,0),'Assumptions'!$B$5*EXP(-'Assumptions'!$B$9*(N$24/365))*NORMSDIST(-(((LN($B12/'Assumptions'!$B$5)+('Assumptions'!$B$9+0.5*'Assumptions'!$B$8^2)*(N$24/365))/('Assumptions'!$B$8*SQRT((N$24/365))))-'Assumptions'!$B$8*SQRT((N$24/365))))-$B12*NORMSDIST(-((LN($B12/'Assumptions'!$B$5)+('Assumptions'!$B$9+0.5*'Assumptions'!$B$8^2)*(N$24/365))/('Assumptions'!$B$8*SQRT((N$24/365))))))</f>
        <v/>
      </c>
      <c r="O12" s="26">
        <f>IF(O$24=0,MAX('Assumptions'!$B$5-$B12,0),'Assumptions'!$B$5*EXP(-'Assumptions'!$B$9*(O$24/365))*NORMSDIST(-(((LN($B12/'Assumptions'!$B$5)+('Assumptions'!$B$9+0.5*'Assumptions'!$B$8^2)*(O$24/365))/('Assumptions'!$B$8*SQRT((O$24/365))))-'Assumptions'!$B$8*SQRT((O$24/365))))-$B12*NORMSDIST(-((LN($B12/'Assumptions'!$B$5)+('Assumptions'!$B$9+0.5*'Assumptions'!$B$8^2)*(O$24/365))/('Assumptions'!$B$8*SQRT((O$24/365))))))</f>
        <v/>
      </c>
      <c r="P12" s="26">
        <f>IF(P$24=0,MAX('Assumptions'!$B$5-$B12,0),'Assumptions'!$B$5*EXP(-'Assumptions'!$B$9*(P$24/365))*NORMSDIST(-(((LN($B12/'Assumptions'!$B$5)+('Assumptions'!$B$9+0.5*'Assumptions'!$B$8^2)*(P$24/365))/('Assumptions'!$B$8*SQRT((P$24/365))))-'Assumptions'!$B$8*SQRT((P$24/365))))-$B12*NORMSDIST(-((LN($B12/'Assumptions'!$B$5)+('Assumptions'!$B$9+0.5*'Assumptions'!$B$8^2)*(P$24/365))/('Assumptions'!$B$8*SQRT((P$24/365))))))</f>
        <v/>
      </c>
      <c r="Q12" s="26">
        <f>IF(Q$24=0,MAX('Assumptions'!$B$5-$B12,0),'Assumptions'!$B$5*EXP(-'Assumptions'!$B$9*(Q$24/365))*NORMSDIST(-(((LN($B12/'Assumptions'!$B$5)+('Assumptions'!$B$9+0.5*'Assumptions'!$B$8^2)*(Q$24/365))/('Assumptions'!$B$8*SQRT((Q$24/365))))-'Assumptions'!$B$8*SQRT((Q$24/365))))-$B12*NORMSDIST(-((LN($B12/'Assumptions'!$B$5)+('Assumptions'!$B$9+0.5*'Assumptions'!$B$8^2)*(Q$24/365))/('Assumptions'!$B$8*SQRT((Q$24/365))))))</f>
        <v/>
      </c>
      <c r="R12" s="26">
        <f>IF(R$24=0,MAX('Assumptions'!$B$5-$B12,0),'Assumptions'!$B$5*EXP(-'Assumptions'!$B$9*(R$24/365))*NORMSDIST(-(((LN($B12/'Assumptions'!$B$5)+('Assumptions'!$B$9+0.5*'Assumptions'!$B$8^2)*(R$24/365))/('Assumptions'!$B$8*SQRT((R$24/365))))-'Assumptions'!$B$8*SQRT((R$24/365))))-$B12*NORMSDIST(-((LN($B12/'Assumptions'!$B$5)+('Assumptions'!$B$9+0.5*'Assumptions'!$B$8^2)*(R$24/365))/('Assumptions'!$B$8*SQRT((R$24/365))))))</f>
        <v/>
      </c>
      <c r="S12" s="26">
        <f>IF(S$24=0,MAX('Assumptions'!$B$5-$B12,0),'Assumptions'!$B$5*EXP(-'Assumptions'!$B$9*(S$24/365))*NORMSDIST(-(((LN($B12/'Assumptions'!$B$5)+('Assumptions'!$B$9+0.5*'Assumptions'!$B$8^2)*(S$24/365))/('Assumptions'!$B$8*SQRT((S$24/365))))-'Assumptions'!$B$8*SQRT((S$24/365))))-$B12*NORMSDIST(-((LN($B12/'Assumptions'!$B$5)+('Assumptions'!$B$9+0.5*'Assumptions'!$B$8^2)*(S$24/365))/('Assumptions'!$B$8*SQRT((S$24/365))))))</f>
        <v/>
      </c>
      <c r="T12" s="26">
        <f>IF(T$24=0,MAX('Assumptions'!$B$5-$B12,0),'Assumptions'!$B$5*EXP(-'Assumptions'!$B$9*(T$24/365))*NORMSDIST(-(((LN($B12/'Assumptions'!$B$5)+('Assumptions'!$B$9+0.5*'Assumptions'!$B$8^2)*(T$24/365))/('Assumptions'!$B$8*SQRT((T$24/365))))-'Assumptions'!$B$8*SQRT((T$24/365))))-$B12*NORMSDIST(-((LN($B12/'Assumptions'!$B$5)+('Assumptions'!$B$9+0.5*'Assumptions'!$B$8^2)*(T$24/365))/('Assumptions'!$B$8*SQRT((T$24/365))))))</f>
        <v/>
      </c>
      <c r="U12" s="26">
        <f>IF(U$24=0,MAX('Assumptions'!$B$5-$B12,0),'Assumptions'!$B$5*EXP(-'Assumptions'!$B$9*(U$24/365))*NORMSDIST(-(((LN($B12/'Assumptions'!$B$5)+('Assumptions'!$B$9+0.5*'Assumptions'!$B$8^2)*(U$24/365))/('Assumptions'!$B$8*SQRT((U$24/365))))-'Assumptions'!$B$8*SQRT((U$24/365))))-$B12*NORMSDIST(-((LN($B12/'Assumptions'!$B$5)+('Assumptions'!$B$9+0.5*'Assumptions'!$B$8^2)*(U$24/365))/('Assumptions'!$B$8*SQRT((U$24/365))))))</f>
        <v/>
      </c>
    </row>
    <row r="13" ht="22" customHeight="1">
      <c r="A13" s="15" t="n">
        <v>0.1</v>
      </c>
      <c r="B13" s="26">
        <f>'Assumptions'!$B$4*(1-A13)</f>
        <v/>
      </c>
      <c r="C13" s="26">
        <f>IF(C$24=0,MAX('Assumptions'!$B$5-$B13,0),'Assumptions'!$B$5*EXP(-'Assumptions'!$B$9*(C$24/365))*NORMSDIST(-(((LN($B13/'Assumptions'!$B$5)+('Assumptions'!$B$9+0.5*'Assumptions'!$B$8^2)*(C$24/365))/('Assumptions'!$B$8*SQRT((C$24/365))))-'Assumptions'!$B$8*SQRT((C$24/365))))-$B13*NORMSDIST(-((LN($B13/'Assumptions'!$B$5)+('Assumptions'!$B$9+0.5*'Assumptions'!$B$8^2)*(C$24/365))/('Assumptions'!$B$8*SQRT((C$24/365))))))</f>
        <v/>
      </c>
      <c r="D13" s="26">
        <f>IF(D$24=0,MAX('Assumptions'!$B$5-$B13,0),'Assumptions'!$B$5*EXP(-'Assumptions'!$B$9*(D$24/365))*NORMSDIST(-(((LN($B13/'Assumptions'!$B$5)+('Assumptions'!$B$9+0.5*'Assumptions'!$B$8^2)*(D$24/365))/('Assumptions'!$B$8*SQRT((D$24/365))))-'Assumptions'!$B$8*SQRT((D$24/365))))-$B13*NORMSDIST(-((LN($B13/'Assumptions'!$B$5)+('Assumptions'!$B$9+0.5*'Assumptions'!$B$8^2)*(D$24/365))/('Assumptions'!$B$8*SQRT((D$24/365))))))</f>
        <v/>
      </c>
      <c r="E13" s="26">
        <f>IF(E$24=0,MAX('Assumptions'!$B$5-$B13,0),'Assumptions'!$B$5*EXP(-'Assumptions'!$B$9*(E$24/365))*NORMSDIST(-(((LN($B13/'Assumptions'!$B$5)+('Assumptions'!$B$9+0.5*'Assumptions'!$B$8^2)*(E$24/365))/('Assumptions'!$B$8*SQRT((E$24/365))))-'Assumptions'!$B$8*SQRT((E$24/365))))-$B13*NORMSDIST(-((LN($B13/'Assumptions'!$B$5)+('Assumptions'!$B$9+0.5*'Assumptions'!$B$8^2)*(E$24/365))/('Assumptions'!$B$8*SQRT((E$24/365))))))</f>
        <v/>
      </c>
      <c r="F13" s="26">
        <f>IF(F$24=0,MAX('Assumptions'!$B$5-$B13,0),'Assumptions'!$B$5*EXP(-'Assumptions'!$B$9*(F$24/365))*NORMSDIST(-(((LN($B13/'Assumptions'!$B$5)+('Assumptions'!$B$9+0.5*'Assumptions'!$B$8^2)*(F$24/365))/('Assumptions'!$B$8*SQRT((F$24/365))))-'Assumptions'!$B$8*SQRT((F$24/365))))-$B13*NORMSDIST(-((LN($B13/'Assumptions'!$B$5)+('Assumptions'!$B$9+0.5*'Assumptions'!$B$8^2)*(F$24/365))/('Assumptions'!$B$8*SQRT((F$24/365))))))</f>
        <v/>
      </c>
      <c r="G13" s="26">
        <f>IF(G$24=0,MAX('Assumptions'!$B$5-$B13,0),'Assumptions'!$B$5*EXP(-'Assumptions'!$B$9*(G$24/365))*NORMSDIST(-(((LN($B13/'Assumptions'!$B$5)+('Assumptions'!$B$9+0.5*'Assumptions'!$B$8^2)*(G$24/365))/('Assumptions'!$B$8*SQRT((G$24/365))))-'Assumptions'!$B$8*SQRT((G$24/365))))-$B13*NORMSDIST(-((LN($B13/'Assumptions'!$B$5)+('Assumptions'!$B$9+0.5*'Assumptions'!$B$8^2)*(G$24/365))/('Assumptions'!$B$8*SQRT((G$24/365))))))</f>
        <v/>
      </c>
      <c r="H13" s="26">
        <f>IF(H$24=0,MAX('Assumptions'!$B$5-$B13,0),'Assumptions'!$B$5*EXP(-'Assumptions'!$B$9*(H$24/365))*NORMSDIST(-(((LN($B13/'Assumptions'!$B$5)+('Assumptions'!$B$9+0.5*'Assumptions'!$B$8^2)*(H$24/365))/('Assumptions'!$B$8*SQRT((H$24/365))))-'Assumptions'!$B$8*SQRT((H$24/365))))-$B13*NORMSDIST(-((LN($B13/'Assumptions'!$B$5)+('Assumptions'!$B$9+0.5*'Assumptions'!$B$8^2)*(H$24/365))/('Assumptions'!$B$8*SQRT((H$24/365))))))</f>
        <v/>
      </c>
      <c r="I13" s="26">
        <f>IF(I$24=0,MAX('Assumptions'!$B$5-$B13,0),'Assumptions'!$B$5*EXP(-'Assumptions'!$B$9*(I$24/365))*NORMSDIST(-(((LN($B13/'Assumptions'!$B$5)+('Assumptions'!$B$9+0.5*'Assumptions'!$B$8^2)*(I$24/365))/('Assumptions'!$B$8*SQRT((I$24/365))))-'Assumptions'!$B$8*SQRT((I$24/365))))-$B13*NORMSDIST(-((LN($B13/'Assumptions'!$B$5)+('Assumptions'!$B$9+0.5*'Assumptions'!$B$8^2)*(I$24/365))/('Assumptions'!$B$8*SQRT((I$24/365))))))</f>
        <v/>
      </c>
      <c r="J13" s="26">
        <f>IF(J$24=0,MAX('Assumptions'!$B$5-$B13,0),'Assumptions'!$B$5*EXP(-'Assumptions'!$B$9*(J$24/365))*NORMSDIST(-(((LN($B13/'Assumptions'!$B$5)+('Assumptions'!$B$9+0.5*'Assumptions'!$B$8^2)*(J$24/365))/('Assumptions'!$B$8*SQRT((J$24/365))))-'Assumptions'!$B$8*SQRT((J$24/365))))-$B13*NORMSDIST(-((LN($B13/'Assumptions'!$B$5)+('Assumptions'!$B$9+0.5*'Assumptions'!$B$8^2)*(J$24/365))/('Assumptions'!$B$8*SQRT((J$24/365))))))</f>
        <v/>
      </c>
      <c r="K13" s="26">
        <f>IF(K$24=0,MAX('Assumptions'!$B$5-$B13,0),'Assumptions'!$B$5*EXP(-'Assumptions'!$B$9*(K$24/365))*NORMSDIST(-(((LN($B13/'Assumptions'!$B$5)+('Assumptions'!$B$9+0.5*'Assumptions'!$B$8^2)*(K$24/365))/('Assumptions'!$B$8*SQRT((K$24/365))))-'Assumptions'!$B$8*SQRT((K$24/365))))-$B13*NORMSDIST(-((LN($B13/'Assumptions'!$B$5)+('Assumptions'!$B$9+0.5*'Assumptions'!$B$8^2)*(K$24/365))/('Assumptions'!$B$8*SQRT((K$24/365))))))</f>
        <v/>
      </c>
      <c r="L13" s="26">
        <f>IF(L$24=0,MAX('Assumptions'!$B$5-$B13,0),'Assumptions'!$B$5*EXP(-'Assumptions'!$B$9*(L$24/365))*NORMSDIST(-(((LN($B13/'Assumptions'!$B$5)+('Assumptions'!$B$9+0.5*'Assumptions'!$B$8^2)*(L$24/365))/('Assumptions'!$B$8*SQRT((L$24/365))))-'Assumptions'!$B$8*SQRT((L$24/365))))-$B13*NORMSDIST(-((LN($B13/'Assumptions'!$B$5)+('Assumptions'!$B$9+0.5*'Assumptions'!$B$8^2)*(L$24/365))/('Assumptions'!$B$8*SQRT((L$24/365))))))</f>
        <v/>
      </c>
      <c r="M13" s="26">
        <f>IF(M$24=0,MAX('Assumptions'!$B$5-$B13,0),'Assumptions'!$B$5*EXP(-'Assumptions'!$B$9*(M$24/365))*NORMSDIST(-(((LN($B13/'Assumptions'!$B$5)+('Assumptions'!$B$9+0.5*'Assumptions'!$B$8^2)*(M$24/365))/('Assumptions'!$B$8*SQRT((M$24/365))))-'Assumptions'!$B$8*SQRT((M$24/365))))-$B13*NORMSDIST(-((LN($B13/'Assumptions'!$B$5)+('Assumptions'!$B$9+0.5*'Assumptions'!$B$8^2)*(M$24/365))/('Assumptions'!$B$8*SQRT((M$24/365))))))</f>
        <v/>
      </c>
      <c r="N13" s="26">
        <f>IF(N$24=0,MAX('Assumptions'!$B$5-$B13,0),'Assumptions'!$B$5*EXP(-'Assumptions'!$B$9*(N$24/365))*NORMSDIST(-(((LN($B13/'Assumptions'!$B$5)+('Assumptions'!$B$9+0.5*'Assumptions'!$B$8^2)*(N$24/365))/('Assumptions'!$B$8*SQRT((N$24/365))))-'Assumptions'!$B$8*SQRT((N$24/365))))-$B13*NORMSDIST(-((LN($B13/'Assumptions'!$B$5)+('Assumptions'!$B$9+0.5*'Assumptions'!$B$8^2)*(N$24/365))/('Assumptions'!$B$8*SQRT((N$24/365))))))</f>
        <v/>
      </c>
      <c r="O13" s="26">
        <f>IF(O$24=0,MAX('Assumptions'!$B$5-$B13,0),'Assumptions'!$B$5*EXP(-'Assumptions'!$B$9*(O$24/365))*NORMSDIST(-(((LN($B13/'Assumptions'!$B$5)+('Assumptions'!$B$9+0.5*'Assumptions'!$B$8^2)*(O$24/365))/('Assumptions'!$B$8*SQRT((O$24/365))))-'Assumptions'!$B$8*SQRT((O$24/365))))-$B13*NORMSDIST(-((LN($B13/'Assumptions'!$B$5)+('Assumptions'!$B$9+0.5*'Assumptions'!$B$8^2)*(O$24/365))/('Assumptions'!$B$8*SQRT((O$24/365))))))</f>
        <v/>
      </c>
      <c r="P13" s="26">
        <f>IF(P$24=0,MAX('Assumptions'!$B$5-$B13,0),'Assumptions'!$B$5*EXP(-'Assumptions'!$B$9*(P$24/365))*NORMSDIST(-(((LN($B13/'Assumptions'!$B$5)+('Assumptions'!$B$9+0.5*'Assumptions'!$B$8^2)*(P$24/365))/('Assumptions'!$B$8*SQRT((P$24/365))))-'Assumptions'!$B$8*SQRT((P$24/365))))-$B13*NORMSDIST(-((LN($B13/'Assumptions'!$B$5)+('Assumptions'!$B$9+0.5*'Assumptions'!$B$8^2)*(P$24/365))/('Assumptions'!$B$8*SQRT((P$24/365))))))</f>
        <v/>
      </c>
      <c r="Q13" s="26">
        <f>IF(Q$24=0,MAX('Assumptions'!$B$5-$B13,0),'Assumptions'!$B$5*EXP(-'Assumptions'!$B$9*(Q$24/365))*NORMSDIST(-(((LN($B13/'Assumptions'!$B$5)+('Assumptions'!$B$9+0.5*'Assumptions'!$B$8^2)*(Q$24/365))/('Assumptions'!$B$8*SQRT((Q$24/365))))-'Assumptions'!$B$8*SQRT((Q$24/365))))-$B13*NORMSDIST(-((LN($B13/'Assumptions'!$B$5)+('Assumptions'!$B$9+0.5*'Assumptions'!$B$8^2)*(Q$24/365))/('Assumptions'!$B$8*SQRT((Q$24/365))))))</f>
        <v/>
      </c>
      <c r="R13" s="26">
        <f>IF(R$24=0,MAX('Assumptions'!$B$5-$B13,0),'Assumptions'!$B$5*EXP(-'Assumptions'!$B$9*(R$24/365))*NORMSDIST(-(((LN($B13/'Assumptions'!$B$5)+('Assumptions'!$B$9+0.5*'Assumptions'!$B$8^2)*(R$24/365))/('Assumptions'!$B$8*SQRT((R$24/365))))-'Assumptions'!$B$8*SQRT((R$24/365))))-$B13*NORMSDIST(-((LN($B13/'Assumptions'!$B$5)+('Assumptions'!$B$9+0.5*'Assumptions'!$B$8^2)*(R$24/365))/('Assumptions'!$B$8*SQRT((R$24/365))))))</f>
        <v/>
      </c>
      <c r="S13" s="26">
        <f>IF(S$24=0,MAX('Assumptions'!$B$5-$B13,0),'Assumptions'!$B$5*EXP(-'Assumptions'!$B$9*(S$24/365))*NORMSDIST(-(((LN($B13/'Assumptions'!$B$5)+('Assumptions'!$B$9+0.5*'Assumptions'!$B$8^2)*(S$24/365))/('Assumptions'!$B$8*SQRT((S$24/365))))-'Assumptions'!$B$8*SQRT((S$24/365))))-$B13*NORMSDIST(-((LN($B13/'Assumptions'!$B$5)+('Assumptions'!$B$9+0.5*'Assumptions'!$B$8^2)*(S$24/365))/('Assumptions'!$B$8*SQRT((S$24/365))))))</f>
        <v/>
      </c>
      <c r="T13" s="26">
        <f>IF(T$24=0,MAX('Assumptions'!$B$5-$B13,0),'Assumptions'!$B$5*EXP(-'Assumptions'!$B$9*(T$24/365))*NORMSDIST(-(((LN($B13/'Assumptions'!$B$5)+('Assumptions'!$B$9+0.5*'Assumptions'!$B$8^2)*(T$24/365))/('Assumptions'!$B$8*SQRT((T$24/365))))-'Assumptions'!$B$8*SQRT((T$24/365))))-$B13*NORMSDIST(-((LN($B13/'Assumptions'!$B$5)+('Assumptions'!$B$9+0.5*'Assumptions'!$B$8^2)*(T$24/365))/('Assumptions'!$B$8*SQRT((T$24/365))))))</f>
        <v/>
      </c>
      <c r="U13" s="26">
        <f>IF(U$24=0,MAX('Assumptions'!$B$5-$B13,0),'Assumptions'!$B$5*EXP(-'Assumptions'!$B$9*(U$24/365))*NORMSDIST(-(((LN($B13/'Assumptions'!$B$5)+('Assumptions'!$B$9+0.5*'Assumptions'!$B$8^2)*(U$24/365))/('Assumptions'!$B$8*SQRT((U$24/365))))-'Assumptions'!$B$8*SQRT((U$24/365))))-$B13*NORMSDIST(-((LN($B13/'Assumptions'!$B$5)+('Assumptions'!$B$9+0.5*'Assumptions'!$B$8^2)*(U$24/365))/('Assumptions'!$B$8*SQRT((U$24/365))))))</f>
        <v/>
      </c>
    </row>
    <row r="16">
      <c r="A16" s="9" t="inlineStr">
        <is>
          <t>Important</t>
        </is>
      </c>
    </row>
    <row r="17">
      <c r="A17" s="17" t="inlineStr">
        <is>
          <t>Scenario estimates only. Actual option prices may differ due to IV changes, early-exercise value, bid/ask spreads, and intraday market conditions.</t>
        </is>
      </c>
    </row>
    <row r="18"/>
    <row r="24" hidden="1">
      <c r="C24" t="n">
        <v>18</v>
      </c>
      <c r="D24" t="n">
        <v>17</v>
      </c>
      <c r="E24" t="n">
        <v>16</v>
      </c>
      <c r="F24" t="n">
        <v>15</v>
      </c>
      <c r="G24" t="n">
        <v>14</v>
      </c>
      <c r="H24" t="n">
        <v>13</v>
      </c>
      <c r="I24" t="n">
        <v>12</v>
      </c>
      <c r="J24" t="n">
        <v>11</v>
      </c>
      <c r="K24" t="n">
        <v>10</v>
      </c>
      <c r="L24" t="n">
        <v>9</v>
      </c>
      <c r="M24" t="n">
        <v>8</v>
      </c>
      <c r="N24" t="n">
        <v>7</v>
      </c>
      <c r="O24" t="n">
        <v>6</v>
      </c>
      <c r="P24" t="n">
        <v>5</v>
      </c>
      <c r="Q24" t="n">
        <v>4</v>
      </c>
      <c r="R24" t="n">
        <v>3</v>
      </c>
      <c r="S24" t="n">
        <v>2</v>
      </c>
      <c r="T24" t="n">
        <v>1</v>
      </c>
      <c r="U24" t="n">
        <v>0</v>
      </c>
    </row>
  </sheetData>
  <mergeCells count="4">
    <mergeCell ref="A1:U1"/>
    <mergeCell ref="A16:U16"/>
    <mergeCell ref="A17:U18"/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4" t="inlineStr">
        <is>
          <t>P&amp;L Matrix</t>
        </is>
      </c>
    </row>
    <row r="2">
      <c r="A2" s="5" t="inlineStr">
        <is>
          <t>Rows = SPY decline from baseline. Columns = calendar days remaining until Aug. 28 expiration.</t>
        </is>
      </c>
    </row>
    <row r="3">
      <c r="A3" s="2" t="inlineStr">
        <is>
          <t>SPY Drop</t>
        </is>
      </c>
      <c r="B3" s="2" t="inlineStr">
        <is>
          <t>SPY Price</t>
        </is>
      </c>
      <c r="C3" s="2" t="inlineStr">
        <is>
          <t>18D</t>
        </is>
      </c>
      <c r="D3" s="2" t="inlineStr">
        <is>
          <t>17D</t>
        </is>
      </c>
      <c r="E3" s="2" t="inlineStr">
        <is>
          <t>16D</t>
        </is>
      </c>
      <c r="F3" s="2" t="inlineStr">
        <is>
          <t>15D</t>
        </is>
      </c>
      <c r="G3" s="2" t="inlineStr">
        <is>
          <t>14D</t>
        </is>
      </c>
      <c r="H3" s="2" t="inlineStr">
        <is>
          <t>13D</t>
        </is>
      </c>
      <c r="I3" s="2" t="inlineStr">
        <is>
          <t>12D</t>
        </is>
      </c>
      <c r="J3" s="2" t="inlineStr">
        <is>
          <t>11D</t>
        </is>
      </c>
      <c r="K3" s="2" t="inlineStr">
        <is>
          <t>10D</t>
        </is>
      </c>
      <c r="L3" s="2" t="inlineStr">
        <is>
          <t>9D</t>
        </is>
      </c>
      <c r="M3" s="2" t="inlineStr">
        <is>
          <t>8D</t>
        </is>
      </c>
      <c r="N3" s="2" t="inlineStr">
        <is>
          <t>7D</t>
        </is>
      </c>
      <c r="O3" s="2" t="inlineStr">
        <is>
          <t>6D</t>
        </is>
      </c>
      <c r="P3" s="2" t="inlineStr">
        <is>
          <t>5D</t>
        </is>
      </c>
      <c r="Q3" s="2" t="inlineStr">
        <is>
          <t>4D</t>
        </is>
      </c>
      <c r="R3" s="2" t="inlineStr">
        <is>
          <t>3D</t>
        </is>
      </c>
      <c r="S3" s="2" t="inlineStr">
        <is>
          <t>2D</t>
        </is>
      </c>
      <c r="T3" s="2" t="inlineStr">
        <is>
          <t>1D</t>
        </is>
      </c>
      <c r="U3" s="2" t="inlineStr">
        <is>
          <t>0D</t>
        </is>
      </c>
    </row>
    <row r="4" ht="22" customHeight="1">
      <c r="A4" s="15" t="n">
        <v>0.01</v>
      </c>
      <c r="B4" s="26">
        <f>'Assumptions'!$B$4*(1-A4)</f>
        <v/>
      </c>
      <c r="C4" s="27">
        <f>('Option Price Matrix'!C4-'Assumptions'!$B$6)*'Assumptions'!$B$7</f>
        <v/>
      </c>
      <c r="D4" s="27">
        <f>('Option Price Matrix'!D4-'Assumptions'!$B$6)*'Assumptions'!$B$7</f>
        <v/>
      </c>
      <c r="E4" s="27">
        <f>('Option Price Matrix'!E4-'Assumptions'!$B$6)*'Assumptions'!$B$7</f>
        <v/>
      </c>
      <c r="F4" s="27">
        <f>('Option Price Matrix'!F4-'Assumptions'!$B$6)*'Assumptions'!$B$7</f>
        <v/>
      </c>
      <c r="G4" s="27">
        <f>('Option Price Matrix'!G4-'Assumptions'!$B$6)*'Assumptions'!$B$7</f>
        <v/>
      </c>
      <c r="H4" s="27">
        <f>('Option Price Matrix'!H4-'Assumptions'!$B$6)*'Assumptions'!$B$7</f>
        <v/>
      </c>
      <c r="I4" s="27">
        <f>('Option Price Matrix'!I4-'Assumptions'!$B$6)*'Assumptions'!$B$7</f>
        <v/>
      </c>
      <c r="J4" s="27">
        <f>('Option Price Matrix'!J4-'Assumptions'!$B$6)*'Assumptions'!$B$7</f>
        <v/>
      </c>
      <c r="K4" s="27">
        <f>('Option Price Matrix'!K4-'Assumptions'!$B$6)*'Assumptions'!$B$7</f>
        <v/>
      </c>
      <c r="L4" s="27">
        <f>('Option Price Matrix'!L4-'Assumptions'!$B$6)*'Assumptions'!$B$7</f>
        <v/>
      </c>
      <c r="M4" s="27">
        <f>('Option Price Matrix'!M4-'Assumptions'!$B$6)*'Assumptions'!$B$7</f>
        <v/>
      </c>
      <c r="N4" s="27">
        <f>('Option Price Matrix'!N4-'Assumptions'!$B$6)*'Assumptions'!$B$7</f>
        <v/>
      </c>
      <c r="O4" s="27">
        <f>('Option Price Matrix'!O4-'Assumptions'!$B$6)*'Assumptions'!$B$7</f>
        <v/>
      </c>
      <c r="P4" s="27">
        <f>('Option Price Matrix'!P4-'Assumptions'!$B$6)*'Assumptions'!$B$7</f>
        <v/>
      </c>
      <c r="Q4" s="27">
        <f>('Option Price Matrix'!Q4-'Assumptions'!$B$6)*'Assumptions'!$B$7</f>
        <v/>
      </c>
      <c r="R4" s="27">
        <f>('Option Price Matrix'!R4-'Assumptions'!$B$6)*'Assumptions'!$B$7</f>
        <v/>
      </c>
      <c r="S4" s="27">
        <f>('Option Price Matrix'!S4-'Assumptions'!$B$6)*'Assumptions'!$B$7</f>
        <v/>
      </c>
      <c r="T4" s="27">
        <f>('Option Price Matrix'!T4-'Assumptions'!$B$6)*'Assumptions'!$B$7</f>
        <v/>
      </c>
      <c r="U4" s="27">
        <f>('Option Price Matrix'!U4-'Assumptions'!$B$6)*'Assumptions'!$B$7</f>
        <v/>
      </c>
    </row>
    <row r="5" ht="22" customHeight="1">
      <c r="A5" s="15" t="n">
        <v>0.02</v>
      </c>
      <c r="B5" s="26">
        <f>'Assumptions'!$B$4*(1-A5)</f>
        <v/>
      </c>
      <c r="C5" s="27">
        <f>('Option Price Matrix'!C5-'Assumptions'!$B$6)*'Assumptions'!$B$7</f>
        <v/>
      </c>
      <c r="D5" s="27">
        <f>('Option Price Matrix'!D5-'Assumptions'!$B$6)*'Assumptions'!$B$7</f>
        <v/>
      </c>
      <c r="E5" s="27">
        <f>('Option Price Matrix'!E5-'Assumptions'!$B$6)*'Assumptions'!$B$7</f>
        <v/>
      </c>
      <c r="F5" s="27">
        <f>('Option Price Matrix'!F5-'Assumptions'!$B$6)*'Assumptions'!$B$7</f>
        <v/>
      </c>
      <c r="G5" s="27">
        <f>('Option Price Matrix'!G5-'Assumptions'!$B$6)*'Assumptions'!$B$7</f>
        <v/>
      </c>
      <c r="H5" s="27">
        <f>('Option Price Matrix'!H5-'Assumptions'!$B$6)*'Assumptions'!$B$7</f>
        <v/>
      </c>
      <c r="I5" s="27">
        <f>('Option Price Matrix'!I5-'Assumptions'!$B$6)*'Assumptions'!$B$7</f>
        <v/>
      </c>
      <c r="J5" s="27">
        <f>('Option Price Matrix'!J5-'Assumptions'!$B$6)*'Assumptions'!$B$7</f>
        <v/>
      </c>
      <c r="K5" s="27">
        <f>('Option Price Matrix'!K5-'Assumptions'!$B$6)*'Assumptions'!$B$7</f>
        <v/>
      </c>
      <c r="L5" s="27">
        <f>('Option Price Matrix'!L5-'Assumptions'!$B$6)*'Assumptions'!$B$7</f>
        <v/>
      </c>
      <c r="M5" s="27">
        <f>('Option Price Matrix'!M5-'Assumptions'!$B$6)*'Assumptions'!$B$7</f>
        <v/>
      </c>
      <c r="N5" s="27">
        <f>('Option Price Matrix'!N5-'Assumptions'!$B$6)*'Assumptions'!$B$7</f>
        <v/>
      </c>
      <c r="O5" s="27">
        <f>('Option Price Matrix'!O5-'Assumptions'!$B$6)*'Assumptions'!$B$7</f>
        <v/>
      </c>
      <c r="P5" s="27">
        <f>('Option Price Matrix'!P5-'Assumptions'!$B$6)*'Assumptions'!$B$7</f>
        <v/>
      </c>
      <c r="Q5" s="27">
        <f>('Option Price Matrix'!Q5-'Assumptions'!$B$6)*'Assumptions'!$B$7</f>
        <v/>
      </c>
      <c r="R5" s="27">
        <f>('Option Price Matrix'!R5-'Assumptions'!$B$6)*'Assumptions'!$B$7</f>
        <v/>
      </c>
      <c r="S5" s="27">
        <f>('Option Price Matrix'!S5-'Assumptions'!$B$6)*'Assumptions'!$B$7</f>
        <v/>
      </c>
      <c r="T5" s="27">
        <f>('Option Price Matrix'!T5-'Assumptions'!$B$6)*'Assumptions'!$B$7</f>
        <v/>
      </c>
      <c r="U5" s="27">
        <f>('Option Price Matrix'!U5-'Assumptions'!$B$6)*'Assumptions'!$B$7</f>
        <v/>
      </c>
    </row>
    <row r="6" ht="22" customHeight="1">
      <c r="A6" s="15" t="n">
        <v>0.03</v>
      </c>
      <c r="B6" s="26">
        <f>'Assumptions'!$B$4*(1-A6)</f>
        <v/>
      </c>
      <c r="C6" s="27">
        <f>('Option Price Matrix'!C6-'Assumptions'!$B$6)*'Assumptions'!$B$7</f>
        <v/>
      </c>
      <c r="D6" s="27">
        <f>('Option Price Matrix'!D6-'Assumptions'!$B$6)*'Assumptions'!$B$7</f>
        <v/>
      </c>
      <c r="E6" s="27">
        <f>('Option Price Matrix'!E6-'Assumptions'!$B$6)*'Assumptions'!$B$7</f>
        <v/>
      </c>
      <c r="F6" s="27">
        <f>('Option Price Matrix'!F6-'Assumptions'!$B$6)*'Assumptions'!$B$7</f>
        <v/>
      </c>
      <c r="G6" s="27">
        <f>('Option Price Matrix'!G6-'Assumptions'!$B$6)*'Assumptions'!$B$7</f>
        <v/>
      </c>
      <c r="H6" s="27">
        <f>('Option Price Matrix'!H6-'Assumptions'!$B$6)*'Assumptions'!$B$7</f>
        <v/>
      </c>
      <c r="I6" s="27">
        <f>('Option Price Matrix'!I6-'Assumptions'!$B$6)*'Assumptions'!$B$7</f>
        <v/>
      </c>
      <c r="J6" s="27">
        <f>('Option Price Matrix'!J6-'Assumptions'!$B$6)*'Assumptions'!$B$7</f>
        <v/>
      </c>
      <c r="K6" s="27">
        <f>('Option Price Matrix'!K6-'Assumptions'!$B$6)*'Assumptions'!$B$7</f>
        <v/>
      </c>
      <c r="L6" s="27">
        <f>('Option Price Matrix'!L6-'Assumptions'!$B$6)*'Assumptions'!$B$7</f>
        <v/>
      </c>
      <c r="M6" s="27">
        <f>('Option Price Matrix'!M6-'Assumptions'!$B$6)*'Assumptions'!$B$7</f>
        <v/>
      </c>
      <c r="N6" s="27">
        <f>('Option Price Matrix'!N6-'Assumptions'!$B$6)*'Assumptions'!$B$7</f>
        <v/>
      </c>
      <c r="O6" s="27">
        <f>('Option Price Matrix'!O6-'Assumptions'!$B$6)*'Assumptions'!$B$7</f>
        <v/>
      </c>
      <c r="P6" s="27">
        <f>('Option Price Matrix'!P6-'Assumptions'!$B$6)*'Assumptions'!$B$7</f>
        <v/>
      </c>
      <c r="Q6" s="27">
        <f>('Option Price Matrix'!Q6-'Assumptions'!$B$6)*'Assumptions'!$B$7</f>
        <v/>
      </c>
      <c r="R6" s="27">
        <f>('Option Price Matrix'!R6-'Assumptions'!$B$6)*'Assumptions'!$B$7</f>
        <v/>
      </c>
      <c r="S6" s="27">
        <f>('Option Price Matrix'!S6-'Assumptions'!$B$6)*'Assumptions'!$B$7</f>
        <v/>
      </c>
      <c r="T6" s="27">
        <f>('Option Price Matrix'!T6-'Assumptions'!$B$6)*'Assumptions'!$B$7</f>
        <v/>
      </c>
      <c r="U6" s="27">
        <f>('Option Price Matrix'!U6-'Assumptions'!$B$6)*'Assumptions'!$B$7</f>
        <v/>
      </c>
    </row>
    <row r="7" ht="22" customHeight="1">
      <c r="A7" s="15" t="n">
        <v>0.04</v>
      </c>
      <c r="B7" s="26">
        <f>'Assumptions'!$B$4*(1-A7)</f>
        <v/>
      </c>
      <c r="C7" s="27">
        <f>('Option Price Matrix'!C7-'Assumptions'!$B$6)*'Assumptions'!$B$7</f>
        <v/>
      </c>
      <c r="D7" s="27">
        <f>('Option Price Matrix'!D7-'Assumptions'!$B$6)*'Assumptions'!$B$7</f>
        <v/>
      </c>
      <c r="E7" s="27">
        <f>('Option Price Matrix'!E7-'Assumptions'!$B$6)*'Assumptions'!$B$7</f>
        <v/>
      </c>
      <c r="F7" s="27">
        <f>('Option Price Matrix'!F7-'Assumptions'!$B$6)*'Assumptions'!$B$7</f>
        <v/>
      </c>
      <c r="G7" s="27">
        <f>('Option Price Matrix'!G7-'Assumptions'!$B$6)*'Assumptions'!$B$7</f>
        <v/>
      </c>
      <c r="H7" s="27">
        <f>('Option Price Matrix'!H7-'Assumptions'!$B$6)*'Assumptions'!$B$7</f>
        <v/>
      </c>
      <c r="I7" s="27">
        <f>('Option Price Matrix'!I7-'Assumptions'!$B$6)*'Assumptions'!$B$7</f>
        <v/>
      </c>
      <c r="J7" s="27">
        <f>('Option Price Matrix'!J7-'Assumptions'!$B$6)*'Assumptions'!$B$7</f>
        <v/>
      </c>
      <c r="K7" s="27">
        <f>('Option Price Matrix'!K7-'Assumptions'!$B$6)*'Assumptions'!$B$7</f>
        <v/>
      </c>
      <c r="L7" s="27">
        <f>('Option Price Matrix'!L7-'Assumptions'!$B$6)*'Assumptions'!$B$7</f>
        <v/>
      </c>
      <c r="M7" s="27">
        <f>('Option Price Matrix'!M7-'Assumptions'!$B$6)*'Assumptions'!$B$7</f>
        <v/>
      </c>
      <c r="N7" s="27">
        <f>('Option Price Matrix'!N7-'Assumptions'!$B$6)*'Assumptions'!$B$7</f>
        <v/>
      </c>
      <c r="O7" s="27">
        <f>('Option Price Matrix'!O7-'Assumptions'!$B$6)*'Assumptions'!$B$7</f>
        <v/>
      </c>
      <c r="P7" s="27">
        <f>('Option Price Matrix'!P7-'Assumptions'!$B$6)*'Assumptions'!$B$7</f>
        <v/>
      </c>
      <c r="Q7" s="27">
        <f>('Option Price Matrix'!Q7-'Assumptions'!$B$6)*'Assumptions'!$B$7</f>
        <v/>
      </c>
      <c r="R7" s="27">
        <f>('Option Price Matrix'!R7-'Assumptions'!$B$6)*'Assumptions'!$B$7</f>
        <v/>
      </c>
      <c r="S7" s="27">
        <f>('Option Price Matrix'!S7-'Assumptions'!$B$6)*'Assumptions'!$B$7</f>
        <v/>
      </c>
      <c r="T7" s="27">
        <f>('Option Price Matrix'!T7-'Assumptions'!$B$6)*'Assumptions'!$B$7</f>
        <v/>
      </c>
      <c r="U7" s="27">
        <f>('Option Price Matrix'!U7-'Assumptions'!$B$6)*'Assumptions'!$B$7</f>
        <v/>
      </c>
    </row>
    <row r="8" ht="22" customHeight="1">
      <c r="A8" s="15" t="n">
        <v>0.05</v>
      </c>
      <c r="B8" s="26">
        <f>'Assumptions'!$B$4*(1-A8)</f>
        <v/>
      </c>
      <c r="C8" s="27">
        <f>('Option Price Matrix'!C8-'Assumptions'!$B$6)*'Assumptions'!$B$7</f>
        <v/>
      </c>
      <c r="D8" s="27">
        <f>('Option Price Matrix'!D8-'Assumptions'!$B$6)*'Assumptions'!$B$7</f>
        <v/>
      </c>
      <c r="E8" s="27">
        <f>('Option Price Matrix'!E8-'Assumptions'!$B$6)*'Assumptions'!$B$7</f>
        <v/>
      </c>
      <c r="F8" s="27">
        <f>('Option Price Matrix'!F8-'Assumptions'!$B$6)*'Assumptions'!$B$7</f>
        <v/>
      </c>
      <c r="G8" s="27">
        <f>('Option Price Matrix'!G8-'Assumptions'!$B$6)*'Assumptions'!$B$7</f>
        <v/>
      </c>
      <c r="H8" s="27">
        <f>('Option Price Matrix'!H8-'Assumptions'!$B$6)*'Assumptions'!$B$7</f>
        <v/>
      </c>
      <c r="I8" s="27">
        <f>('Option Price Matrix'!I8-'Assumptions'!$B$6)*'Assumptions'!$B$7</f>
        <v/>
      </c>
      <c r="J8" s="27">
        <f>('Option Price Matrix'!J8-'Assumptions'!$B$6)*'Assumptions'!$B$7</f>
        <v/>
      </c>
      <c r="K8" s="27">
        <f>('Option Price Matrix'!K8-'Assumptions'!$B$6)*'Assumptions'!$B$7</f>
        <v/>
      </c>
      <c r="L8" s="27">
        <f>('Option Price Matrix'!L8-'Assumptions'!$B$6)*'Assumptions'!$B$7</f>
        <v/>
      </c>
      <c r="M8" s="27">
        <f>('Option Price Matrix'!M8-'Assumptions'!$B$6)*'Assumptions'!$B$7</f>
        <v/>
      </c>
      <c r="N8" s="27">
        <f>('Option Price Matrix'!N8-'Assumptions'!$B$6)*'Assumptions'!$B$7</f>
        <v/>
      </c>
      <c r="O8" s="27">
        <f>('Option Price Matrix'!O8-'Assumptions'!$B$6)*'Assumptions'!$B$7</f>
        <v/>
      </c>
      <c r="P8" s="27">
        <f>('Option Price Matrix'!P8-'Assumptions'!$B$6)*'Assumptions'!$B$7</f>
        <v/>
      </c>
      <c r="Q8" s="27">
        <f>('Option Price Matrix'!Q8-'Assumptions'!$B$6)*'Assumptions'!$B$7</f>
        <v/>
      </c>
      <c r="R8" s="27">
        <f>('Option Price Matrix'!R8-'Assumptions'!$B$6)*'Assumptions'!$B$7</f>
        <v/>
      </c>
      <c r="S8" s="27">
        <f>('Option Price Matrix'!S8-'Assumptions'!$B$6)*'Assumptions'!$B$7</f>
        <v/>
      </c>
      <c r="T8" s="27">
        <f>('Option Price Matrix'!T8-'Assumptions'!$B$6)*'Assumptions'!$B$7</f>
        <v/>
      </c>
      <c r="U8" s="27">
        <f>('Option Price Matrix'!U8-'Assumptions'!$B$6)*'Assumptions'!$B$7</f>
        <v/>
      </c>
    </row>
    <row r="9" ht="22" customHeight="1">
      <c r="A9" s="15" t="n">
        <v>0.06</v>
      </c>
      <c r="B9" s="26">
        <f>'Assumptions'!$B$4*(1-A9)</f>
        <v/>
      </c>
      <c r="C9" s="27">
        <f>('Option Price Matrix'!C9-'Assumptions'!$B$6)*'Assumptions'!$B$7</f>
        <v/>
      </c>
      <c r="D9" s="27">
        <f>('Option Price Matrix'!D9-'Assumptions'!$B$6)*'Assumptions'!$B$7</f>
        <v/>
      </c>
      <c r="E9" s="27">
        <f>('Option Price Matrix'!E9-'Assumptions'!$B$6)*'Assumptions'!$B$7</f>
        <v/>
      </c>
      <c r="F9" s="27">
        <f>('Option Price Matrix'!F9-'Assumptions'!$B$6)*'Assumptions'!$B$7</f>
        <v/>
      </c>
      <c r="G9" s="27">
        <f>('Option Price Matrix'!G9-'Assumptions'!$B$6)*'Assumptions'!$B$7</f>
        <v/>
      </c>
      <c r="H9" s="27">
        <f>('Option Price Matrix'!H9-'Assumptions'!$B$6)*'Assumptions'!$B$7</f>
        <v/>
      </c>
      <c r="I9" s="27">
        <f>('Option Price Matrix'!I9-'Assumptions'!$B$6)*'Assumptions'!$B$7</f>
        <v/>
      </c>
      <c r="J9" s="27">
        <f>('Option Price Matrix'!J9-'Assumptions'!$B$6)*'Assumptions'!$B$7</f>
        <v/>
      </c>
      <c r="K9" s="27">
        <f>('Option Price Matrix'!K9-'Assumptions'!$B$6)*'Assumptions'!$B$7</f>
        <v/>
      </c>
      <c r="L9" s="27">
        <f>('Option Price Matrix'!L9-'Assumptions'!$B$6)*'Assumptions'!$B$7</f>
        <v/>
      </c>
      <c r="M9" s="27">
        <f>('Option Price Matrix'!M9-'Assumptions'!$B$6)*'Assumptions'!$B$7</f>
        <v/>
      </c>
      <c r="N9" s="27">
        <f>('Option Price Matrix'!N9-'Assumptions'!$B$6)*'Assumptions'!$B$7</f>
        <v/>
      </c>
      <c r="O9" s="27">
        <f>('Option Price Matrix'!O9-'Assumptions'!$B$6)*'Assumptions'!$B$7</f>
        <v/>
      </c>
      <c r="P9" s="27">
        <f>('Option Price Matrix'!P9-'Assumptions'!$B$6)*'Assumptions'!$B$7</f>
        <v/>
      </c>
      <c r="Q9" s="27">
        <f>('Option Price Matrix'!Q9-'Assumptions'!$B$6)*'Assumptions'!$B$7</f>
        <v/>
      </c>
      <c r="R9" s="27">
        <f>('Option Price Matrix'!R9-'Assumptions'!$B$6)*'Assumptions'!$B$7</f>
        <v/>
      </c>
      <c r="S9" s="27">
        <f>('Option Price Matrix'!S9-'Assumptions'!$B$6)*'Assumptions'!$B$7</f>
        <v/>
      </c>
      <c r="T9" s="27">
        <f>('Option Price Matrix'!T9-'Assumptions'!$B$6)*'Assumptions'!$B$7</f>
        <v/>
      </c>
      <c r="U9" s="27">
        <f>('Option Price Matrix'!U9-'Assumptions'!$B$6)*'Assumptions'!$B$7</f>
        <v/>
      </c>
    </row>
    <row r="10" ht="22" customHeight="1">
      <c r="A10" s="15" t="n">
        <v>0.07000000000000001</v>
      </c>
      <c r="B10" s="26">
        <f>'Assumptions'!$B$4*(1-A10)</f>
        <v/>
      </c>
      <c r="C10" s="27">
        <f>('Option Price Matrix'!C10-'Assumptions'!$B$6)*'Assumptions'!$B$7</f>
        <v/>
      </c>
      <c r="D10" s="27">
        <f>('Option Price Matrix'!D10-'Assumptions'!$B$6)*'Assumptions'!$B$7</f>
        <v/>
      </c>
      <c r="E10" s="27">
        <f>('Option Price Matrix'!E10-'Assumptions'!$B$6)*'Assumptions'!$B$7</f>
        <v/>
      </c>
      <c r="F10" s="27">
        <f>('Option Price Matrix'!F10-'Assumptions'!$B$6)*'Assumptions'!$B$7</f>
        <v/>
      </c>
      <c r="G10" s="27">
        <f>('Option Price Matrix'!G10-'Assumptions'!$B$6)*'Assumptions'!$B$7</f>
        <v/>
      </c>
      <c r="H10" s="27">
        <f>('Option Price Matrix'!H10-'Assumptions'!$B$6)*'Assumptions'!$B$7</f>
        <v/>
      </c>
      <c r="I10" s="27">
        <f>('Option Price Matrix'!I10-'Assumptions'!$B$6)*'Assumptions'!$B$7</f>
        <v/>
      </c>
      <c r="J10" s="27">
        <f>('Option Price Matrix'!J10-'Assumptions'!$B$6)*'Assumptions'!$B$7</f>
        <v/>
      </c>
      <c r="K10" s="27">
        <f>('Option Price Matrix'!K10-'Assumptions'!$B$6)*'Assumptions'!$B$7</f>
        <v/>
      </c>
      <c r="L10" s="27">
        <f>('Option Price Matrix'!L10-'Assumptions'!$B$6)*'Assumptions'!$B$7</f>
        <v/>
      </c>
      <c r="M10" s="27">
        <f>('Option Price Matrix'!M10-'Assumptions'!$B$6)*'Assumptions'!$B$7</f>
        <v/>
      </c>
      <c r="N10" s="27">
        <f>('Option Price Matrix'!N10-'Assumptions'!$B$6)*'Assumptions'!$B$7</f>
        <v/>
      </c>
      <c r="O10" s="27">
        <f>('Option Price Matrix'!O10-'Assumptions'!$B$6)*'Assumptions'!$B$7</f>
        <v/>
      </c>
      <c r="P10" s="27">
        <f>('Option Price Matrix'!P10-'Assumptions'!$B$6)*'Assumptions'!$B$7</f>
        <v/>
      </c>
      <c r="Q10" s="27">
        <f>('Option Price Matrix'!Q10-'Assumptions'!$B$6)*'Assumptions'!$B$7</f>
        <v/>
      </c>
      <c r="R10" s="27">
        <f>('Option Price Matrix'!R10-'Assumptions'!$B$6)*'Assumptions'!$B$7</f>
        <v/>
      </c>
      <c r="S10" s="27">
        <f>('Option Price Matrix'!S10-'Assumptions'!$B$6)*'Assumptions'!$B$7</f>
        <v/>
      </c>
      <c r="T10" s="27">
        <f>('Option Price Matrix'!T10-'Assumptions'!$B$6)*'Assumptions'!$B$7</f>
        <v/>
      </c>
      <c r="U10" s="27">
        <f>('Option Price Matrix'!U10-'Assumptions'!$B$6)*'Assumptions'!$B$7</f>
        <v/>
      </c>
    </row>
    <row r="11" ht="22" customHeight="1">
      <c r="A11" s="15" t="n">
        <v>0.08</v>
      </c>
      <c r="B11" s="26">
        <f>'Assumptions'!$B$4*(1-A11)</f>
        <v/>
      </c>
      <c r="C11" s="27">
        <f>('Option Price Matrix'!C11-'Assumptions'!$B$6)*'Assumptions'!$B$7</f>
        <v/>
      </c>
      <c r="D11" s="27">
        <f>('Option Price Matrix'!D11-'Assumptions'!$B$6)*'Assumptions'!$B$7</f>
        <v/>
      </c>
      <c r="E11" s="27">
        <f>('Option Price Matrix'!E11-'Assumptions'!$B$6)*'Assumptions'!$B$7</f>
        <v/>
      </c>
      <c r="F11" s="27">
        <f>('Option Price Matrix'!F11-'Assumptions'!$B$6)*'Assumptions'!$B$7</f>
        <v/>
      </c>
      <c r="G11" s="27">
        <f>('Option Price Matrix'!G11-'Assumptions'!$B$6)*'Assumptions'!$B$7</f>
        <v/>
      </c>
      <c r="H11" s="27">
        <f>('Option Price Matrix'!H11-'Assumptions'!$B$6)*'Assumptions'!$B$7</f>
        <v/>
      </c>
      <c r="I11" s="27">
        <f>('Option Price Matrix'!I11-'Assumptions'!$B$6)*'Assumptions'!$B$7</f>
        <v/>
      </c>
      <c r="J11" s="27">
        <f>('Option Price Matrix'!J11-'Assumptions'!$B$6)*'Assumptions'!$B$7</f>
        <v/>
      </c>
      <c r="K11" s="27">
        <f>('Option Price Matrix'!K11-'Assumptions'!$B$6)*'Assumptions'!$B$7</f>
        <v/>
      </c>
      <c r="L11" s="27">
        <f>('Option Price Matrix'!L11-'Assumptions'!$B$6)*'Assumptions'!$B$7</f>
        <v/>
      </c>
      <c r="M11" s="27">
        <f>('Option Price Matrix'!M11-'Assumptions'!$B$6)*'Assumptions'!$B$7</f>
        <v/>
      </c>
      <c r="N11" s="27">
        <f>('Option Price Matrix'!N11-'Assumptions'!$B$6)*'Assumptions'!$B$7</f>
        <v/>
      </c>
      <c r="O11" s="27">
        <f>('Option Price Matrix'!O11-'Assumptions'!$B$6)*'Assumptions'!$B$7</f>
        <v/>
      </c>
      <c r="P11" s="27">
        <f>('Option Price Matrix'!P11-'Assumptions'!$B$6)*'Assumptions'!$B$7</f>
        <v/>
      </c>
      <c r="Q11" s="27">
        <f>('Option Price Matrix'!Q11-'Assumptions'!$B$6)*'Assumptions'!$B$7</f>
        <v/>
      </c>
      <c r="R11" s="27">
        <f>('Option Price Matrix'!R11-'Assumptions'!$B$6)*'Assumptions'!$B$7</f>
        <v/>
      </c>
      <c r="S11" s="27">
        <f>('Option Price Matrix'!S11-'Assumptions'!$B$6)*'Assumptions'!$B$7</f>
        <v/>
      </c>
      <c r="T11" s="27">
        <f>('Option Price Matrix'!T11-'Assumptions'!$B$6)*'Assumptions'!$B$7</f>
        <v/>
      </c>
      <c r="U11" s="27">
        <f>('Option Price Matrix'!U11-'Assumptions'!$B$6)*'Assumptions'!$B$7</f>
        <v/>
      </c>
    </row>
    <row r="12" ht="22" customHeight="1">
      <c r="A12" s="15" t="n">
        <v>0.09</v>
      </c>
      <c r="B12" s="26">
        <f>'Assumptions'!$B$4*(1-A12)</f>
        <v/>
      </c>
      <c r="C12" s="27">
        <f>('Option Price Matrix'!C12-'Assumptions'!$B$6)*'Assumptions'!$B$7</f>
        <v/>
      </c>
      <c r="D12" s="27">
        <f>('Option Price Matrix'!D12-'Assumptions'!$B$6)*'Assumptions'!$B$7</f>
        <v/>
      </c>
      <c r="E12" s="27">
        <f>('Option Price Matrix'!E12-'Assumptions'!$B$6)*'Assumptions'!$B$7</f>
        <v/>
      </c>
      <c r="F12" s="27">
        <f>('Option Price Matrix'!F12-'Assumptions'!$B$6)*'Assumptions'!$B$7</f>
        <v/>
      </c>
      <c r="G12" s="27">
        <f>('Option Price Matrix'!G12-'Assumptions'!$B$6)*'Assumptions'!$B$7</f>
        <v/>
      </c>
      <c r="H12" s="27">
        <f>('Option Price Matrix'!H12-'Assumptions'!$B$6)*'Assumptions'!$B$7</f>
        <v/>
      </c>
      <c r="I12" s="27">
        <f>('Option Price Matrix'!I12-'Assumptions'!$B$6)*'Assumptions'!$B$7</f>
        <v/>
      </c>
      <c r="J12" s="27">
        <f>('Option Price Matrix'!J12-'Assumptions'!$B$6)*'Assumptions'!$B$7</f>
        <v/>
      </c>
      <c r="K12" s="27">
        <f>('Option Price Matrix'!K12-'Assumptions'!$B$6)*'Assumptions'!$B$7</f>
        <v/>
      </c>
      <c r="L12" s="27">
        <f>('Option Price Matrix'!L12-'Assumptions'!$B$6)*'Assumptions'!$B$7</f>
        <v/>
      </c>
      <c r="M12" s="27">
        <f>('Option Price Matrix'!M12-'Assumptions'!$B$6)*'Assumptions'!$B$7</f>
        <v/>
      </c>
      <c r="N12" s="27">
        <f>('Option Price Matrix'!N12-'Assumptions'!$B$6)*'Assumptions'!$B$7</f>
        <v/>
      </c>
      <c r="O12" s="27">
        <f>('Option Price Matrix'!O12-'Assumptions'!$B$6)*'Assumptions'!$B$7</f>
        <v/>
      </c>
      <c r="P12" s="27">
        <f>('Option Price Matrix'!P12-'Assumptions'!$B$6)*'Assumptions'!$B$7</f>
        <v/>
      </c>
      <c r="Q12" s="27">
        <f>('Option Price Matrix'!Q12-'Assumptions'!$B$6)*'Assumptions'!$B$7</f>
        <v/>
      </c>
      <c r="R12" s="27">
        <f>('Option Price Matrix'!R12-'Assumptions'!$B$6)*'Assumptions'!$B$7</f>
        <v/>
      </c>
      <c r="S12" s="27">
        <f>('Option Price Matrix'!S12-'Assumptions'!$B$6)*'Assumptions'!$B$7</f>
        <v/>
      </c>
      <c r="T12" s="27">
        <f>('Option Price Matrix'!T12-'Assumptions'!$B$6)*'Assumptions'!$B$7</f>
        <v/>
      </c>
      <c r="U12" s="27">
        <f>('Option Price Matrix'!U12-'Assumptions'!$B$6)*'Assumptions'!$B$7</f>
        <v/>
      </c>
    </row>
    <row r="13" ht="22" customHeight="1">
      <c r="A13" s="15" t="n">
        <v>0.1</v>
      </c>
      <c r="B13" s="26">
        <f>'Assumptions'!$B$4*(1-A13)</f>
        <v/>
      </c>
      <c r="C13" s="27">
        <f>('Option Price Matrix'!C13-'Assumptions'!$B$6)*'Assumptions'!$B$7</f>
        <v/>
      </c>
      <c r="D13" s="27">
        <f>('Option Price Matrix'!D13-'Assumptions'!$B$6)*'Assumptions'!$B$7</f>
        <v/>
      </c>
      <c r="E13" s="27">
        <f>('Option Price Matrix'!E13-'Assumptions'!$B$6)*'Assumptions'!$B$7</f>
        <v/>
      </c>
      <c r="F13" s="27">
        <f>('Option Price Matrix'!F13-'Assumptions'!$B$6)*'Assumptions'!$B$7</f>
        <v/>
      </c>
      <c r="G13" s="27">
        <f>('Option Price Matrix'!G13-'Assumptions'!$B$6)*'Assumptions'!$B$7</f>
        <v/>
      </c>
      <c r="H13" s="27">
        <f>('Option Price Matrix'!H13-'Assumptions'!$B$6)*'Assumptions'!$B$7</f>
        <v/>
      </c>
      <c r="I13" s="27">
        <f>('Option Price Matrix'!I13-'Assumptions'!$B$6)*'Assumptions'!$B$7</f>
        <v/>
      </c>
      <c r="J13" s="27">
        <f>('Option Price Matrix'!J13-'Assumptions'!$B$6)*'Assumptions'!$B$7</f>
        <v/>
      </c>
      <c r="K13" s="27">
        <f>('Option Price Matrix'!K13-'Assumptions'!$B$6)*'Assumptions'!$B$7</f>
        <v/>
      </c>
      <c r="L13" s="27">
        <f>('Option Price Matrix'!L13-'Assumptions'!$B$6)*'Assumptions'!$B$7</f>
        <v/>
      </c>
      <c r="M13" s="27">
        <f>('Option Price Matrix'!M13-'Assumptions'!$B$6)*'Assumptions'!$B$7</f>
        <v/>
      </c>
      <c r="N13" s="27">
        <f>('Option Price Matrix'!N13-'Assumptions'!$B$6)*'Assumptions'!$B$7</f>
        <v/>
      </c>
      <c r="O13" s="27">
        <f>('Option Price Matrix'!O13-'Assumptions'!$B$6)*'Assumptions'!$B$7</f>
        <v/>
      </c>
      <c r="P13" s="27">
        <f>('Option Price Matrix'!P13-'Assumptions'!$B$6)*'Assumptions'!$B$7</f>
        <v/>
      </c>
      <c r="Q13" s="27">
        <f>('Option Price Matrix'!Q13-'Assumptions'!$B$6)*'Assumptions'!$B$7</f>
        <v/>
      </c>
      <c r="R13" s="27">
        <f>('Option Price Matrix'!R13-'Assumptions'!$B$6)*'Assumptions'!$B$7</f>
        <v/>
      </c>
      <c r="S13" s="27">
        <f>('Option Price Matrix'!S13-'Assumptions'!$B$6)*'Assumptions'!$B$7</f>
        <v/>
      </c>
      <c r="T13" s="27">
        <f>('Option Price Matrix'!T13-'Assumptions'!$B$6)*'Assumptions'!$B$7</f>
        <v/>
      </c>
      <c r="U13" s="27">
        <f>('Option Price Matrix'!U13-'Assumptions'!$B$6)*'Assumptions'!$B$7</f>
        <v/>
      </c>
    </row>
    <row r="16">
      <c r="A16" s="9" t="inlineStr">
        <is>
          <t>Important</t>
        </is>
      </c>
    </row>
    <row r="17">
      <c r="A17" s="17" t="inlineStr">
        <is>
          <t>Scenario estimates only. Actual option prices may differ due to IV changes, early-exercise value, bid/ask spreads, and intraday market conditions.</t>
        </is>
      </c>
    </row>
    <row r="18"/>
    <row r="24" hidden="1">
      <c r="C24" t="n">
        <v>18</v>
      </c>
      <c r="D24" t="n">
        <v>17</v>
      </c>
      <c r="E24" t="n">
        <v>16</v>
      </c>
      <c r="F24" t="n">
        <v>15</v>
      </c>
      <c r="G24" t="n">
        <v>14</v>
      </c>
      <c r="H24" t="n">
        <v>13</v>
      </c>
      <c r="I24" t="n">
        <v>12</v>
      </c>
      <c r="J24" t="n">
        <v>11</v>
      </c>
      <c r="K24" t="n">
        <v>10</v>
      </c>
      <c r="L24" t="n">
        <v>9</v>
      </c>
      <c r="M24" t="n">
        <v>8</v>
      </c>
      <c r="N24" t="n">
        <v>7</v>
      </c>
      <c r="O24" t="n">
        <v>6</v>
      </c>
      <c r="P24" t="n">
        <v>5</v>
      </c>
      <c r="Q24" t="n">
        <v>4</v>
      </c>
      <c r="R24" t="n">
        <v>3</v>
      </c>
      <c r="S24" t="n">
        <v>2</v>
      </c>
      <c r="T24" t="n">
        <v>1</v>
      </c>
      <c r="U24" t="n">
        <v>0</v>
      </c>
    </row>
  </sheetData>
  <mergeCells count="4">
    <mergeCell ref="A1:U1"/>
    <mergeCell ref="A16:U16"/>
    <mergeCell ref="A17:U18"/>
    <mergeCell ref="A2:U2"/>
  </mergeCells>
  <conditionalFormatting sqref="C4:U13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4" t="inlineStr">
        <is>
          <t>Combined View</t>
        </is>
      </c>
    </row>
    <row r="2">
      <c r="A2" s="5" t="inlineStr">
        <is>
          <t>Each cell = estimated option price / contract P&amp;L. Example: $5.98 / +$388.</t>
        </is>
      </c>
    </row>
    <row r="3">
      <c r="A3" s="2" t="inlineStr">
        <is>
          <t>SPY Drop</t>
        </is>
      </c>
      <c r="B3" s="2" t="inlineStr">
        <is>
          <t>SPY Price</t>
        </is>
      </c>
      <c r="C3" s="2" t="inlineStr">
        <is>
          <t>18D</t>
        </is>
      </c>
      <c r="D3" s="2" t="inlineStr">
        <is>
          <t>17D</t>
        </is>
      </c>
      <c r="E3" s="2" t="inlineStr">
        <is>
          <t>16D</t>
        </is>
      </c>
      <c r="F3" s="2" t="inlineStr">
        <is>
          <t>15D</t>
        </is>
      </c>
      <c r="G3" s="2" t="inlineStr">
        <is>
          <t>14D</t>
        </is>
      </c>
      <c r="H3" s="2" t="inlineStr">
        <is>
          <t>13D</t>
        </is>
      </c>
      <c r="I3" s="2" t="inlineStr">
        <is>
          <t>12D</t>
        </is>
      </c>
      <c r="J3" s="2" t="inlineStr">
        <is>
          <t>11D</t>
        </is>
      </c>
      <c r="K3" s="2" t="inlineStr">
        <is>
          <t>10D</t>
        </is>
      </c>
      <c r="L3" s="2" t="inlineStr">
        <is>
          <t>9D</t>
        </is>
      </c>
      <c r="M3" s="2" t="inlineStr">
        <is>
          <t>8D</t>
        </is>
      </c>
      <c r="N3" s="2" t="inlineStr">
        <is>
          <t>7D</t>
        </is>
      </c>
      <c r="O3" s="2" t="inlineStr">
        <is>
          <t>6D</t>
        </is>
      </c>
      <c r="P3" s="2" t="inlineStr">
        <is>
          <t>5D</t>
        </is>
      </c>
      <c r="Q3" s="2" t="inlineStr">
        <is>
          <t>4D</t>
        </is>
      </c>
      <c r="R3" s="2" t="inlineStr">
        <is>
          <t>3D</t>
        </is>
      </c>
      <c r="S3" s="2" t="inlineStr">
        <is>
          <t>2D</t>
        </is>
      </c>
      <c r="T3" s="2" t="inlineStr">
        <is>
          <t>1D</t>
        </is>
      </c>
      <c r="U3" s="2" t="inlineStr">
        <is>
          <t>0D</t>
        </is>
      </c>
    </row>
    <row r="4" ht="22" customHeight="1">
      <c r="A4" s="15" t="n">
        <v>0.01</v>
      </c>
      <c r="B4" s="26">
        <f>'Assumptions'!$B$4*(1-A4)</f>
        <v/>
      </c>
      <c r="C4" s="19">
        <f>TEXT('Option Price Matrix'!C4,"$0.00")&amp;" / "&amp;IF('P&amp;L Matrix'!C4&gt;0,"+$"&amp;TEXT('P&amp;L Matrix'!C4,"#,##0"),IF('P&amp;L Matrix'!C4&lt;0,"-$"&amp;TEXT(ABS('P&amp;L Matrix'!C4),"#,##0"),"$0"))</f>
        <v/>
      </c>
      <c r="D4" s="19">
        <f>TEXT('Option Price Matrix'!D4,"$0.00")&amp;" / "&amp;IF('P&amp;L Matrix'!D4&gt;0,"+$"&amp;TEXT('P&amp;L Matrix'!D4,"#,##0"),IF('P&amp;L Matrix'!D4&lt;0,"-$"&amp;TEXT(ABS('P&amp;L Matrix'!D4),"#,##0"),"$0"))</f>
        <v/>
      </c>
      <c r="E4" s="19">
        <f>TEXT('Option Price Matrix'!E4,"$0.00")&amp;" / "&amp;IF('P&amp;L Matrix'!E4&gt;0,"+$"&amp;TEXT('P&amp;L Matrix'!E4,"#,##0"),IF('P&amp;L Matrix'!E4&lt;0,"-$"&amp;TEXT(ABS('P&amp;L Matrix'!E4),"#,##0"),"$0"))</f>
        <v/>
      </c>
      <c r="F4" s="19">
        <f>TEXT('Option Price Matrix'!F4,"$0.00")&amp;" / "&amp;IF('P&amp;L Matrix'!F4&gt;0,"+$"&amp;TEXT('P&amp;L Matrix'!F4,"#,##0"),IF('P&amp;L Matrix'!F4&lt;0,"-$"&amp;TEXT(ABS('P&amp;L Matrix'!F4),"#,##0"),"$0"))</f>
        <v/>
      </c>
      <c r="G4" s="19">
        <f>TEXT('Option Price Matrix'!G4,"$0.00")&amp;" / "&amp;IF('P&amp;L Matrix'!G4&gt;0,"+$"&amp;TEXT('P&amp;L Matrix'!G4,"#,##0"),IF('P&amp;L Matrix'!G4&lt;0,"-$"&amp;TEXT(ABS('P&amp;L Matrix'!G4),"#,##0"),"$0"))</f>
        <v/>
      </c>
      <c r="H4" s="19">
        <f>TEXT('Option Price Matrix'!H4,"$0.00")&amp;" / "&amp;IF('P&amp;L Matrix'!H4&gt;0,"+$"&amp;TEXT('P&amp;L Matrix'!H4,"#,##0"),IF('P&amp;L Matrix'!H4&lt;0,"-$"&amp;TEXT(ABS('P&amp;L Matrix'!H4),"#,##0"),"$0"))</f>
        <v/>
      </c>
      <c r="I4" s="19">
        <f>TEXT('Option Price Matrix'!I4,"$0.00")&amp;" / "&amp;IF('P&amp;L Matrix'!I4&gt;0,"+$"&amp;TEXT('P&amp;L Matrix'!I4,"#,##0"),IF('P&amp;L Matrix'!I4&lt;0,"-$"&amp;TEXT(ABS('P&amp;L Matrix'!I4),"#,##0"),"$0"))</f>
        <v/>
      </c>
      <c r="J4" s="19">
        <f>TEXT('Option Price Matrix'!J4,"$0.00")&amp;" / "&amp;IF('P&amp;L Matrix'!J4&gt;0,"+$"&amp;TEXT('P&amp;L Matrix'!J4,"#,##0"),IF('P&amp;L Matrix'!J4&lt;0,"-$"&amp;TEXT(ABS('P&amp;L Matrix'!J4),"#,##0"),"$0"))</f>
        <v/>
      </c>
      <c r="K4" s="19">
        <f>TEXT('Option Price Matrix'!K4,"$0.00")&amp;" / "&amp;IF('P&amp;L Matrix'!K4&gt;0,"+$"&amp;TEXT('P&amp;L Matrix'!K4,"#,##0"),IF('P&amp;L Matrix'!K4&lt;0,"-$"&amp;TEXT(ABS('P&amp;L Matrix'!K4),"#,##0"),"$0"))</f>
        <v/>
      </c>
      <c r="L4" s="19">
        <f>TEXT('Option Price Matrix'!L4,"$0.00")&amp;" / "&amp;IF('P&amp;L Matrix'!L4&gt;0,"+$"&amp;TEXT('P&amp;L Matrix'!L4,"#,##0"),IF('P&amp;L Matrix'!L4&lt;0,"-$"&amp;TEXT(ABS('P&amp;L Matrix'!L4),"#,##0"),"$0"))</f>
        <v/>
      </c>
      <c r="M4" s="19">
        <f>TEXT('Option Price Matrix'!M4,"$0.00")&amp;" / "&amp;IF('P&amp;L Matrix'!M4&gt;0,"+$"&amp;TEXT('P&amp;L Matrix'!M4,"#,##0"),IF('P&amp;L Matrix'!M4&lt;0,"-$"&amp;TEXT(ABS('P&amp;L Matrix'!M4),"#,##0"),"$0"))</f>
        <v/>
      </c>
      <c r="N4" s="19">
        <f>TEXT('Option Price Matrix'!N4,"$0.00")&amp;" / "&amp;IF('P&amp;L Matrix'!N4&gt;0,"+$"&amp;TEXT('P&amp;L Matrix'!N4,"#,##0"),IF('P&amp;L Matrix'!N4&lt;0,"-$"&amp;TEXT(ABS('P&amp;L Matrix'!N4),"#,##0"),"$0"))</f>
        <v/>
      </c>
      <c r="O4" s="19">
        <f>TEXT('Option Price Matrix'!O4,"$0.00")&amp;" / "&amp;IF('P&amp;L Matrix'!O4&gt;0,"+$"&amp;TEXT('P&amp;L Matrix'!O4,"#,##0"),IF('P&amp;L Matrix'!O4&lt;0,"-$"&amp;TEXT(ABS('P&amp;L Matrix'!O4),"#,##0"),"$0"))</f>
        <v/>
      </c>
      <c r="P4" s="19">
        <f>TEXT('Option Price Matrix'!P4,"$0.00")&amp;" / "&amp;IF('P&amp;L Matrix'!P4&gt;0,"+$"&amp;TEXT('P&amp;L Matrix'!P4,"#,##0"),IF('P&amp;L Matrix'!P4&lt;0,"-$"&amp;TEXT(ABS('P&amp;L Matrix'!P4),"#,##0"),"$0"))</f>
        <v/>
      </c>
      <c r="Q4" s="19">
        <f>TEXT('Option Price Matrix'!Q4,"$0.00")&amp;" / "&amp;IF('P&amp;L Matrix'!Q4&gt;0,"+$"&amp;TEXT('P&amp;L Matrix'!Q4,"#,##0"),IF('P&amp;L Matrix'!Q4&lt;0,"-$"&amp;TEXT(ABS('P&amp;L Matrix'!Q4),"#,##0"),"$0"))</f>
        <v/>
      </c>
      <c r="R4" s="19">
        <f>TEXT('Option Price Matrix'!R4,"$0.00")&amp;" / "&amp;IF('P&amp;L Matrix'!R4&gt;0,"+$"&amp;TEXT('P&amp;L Matrix'!R4,"#,##0"),IF('P&amp;L Matrix'!R4&lt;0,"-$"&amp;TEXT(ABS('P&amp;L Matrix'!R4),"#,##0"),"$0"))</f>
        <v/>
      </c>
      <c r="S4" s="19">
        <f>TEXT('Option Price Matrix'!S4,"$0.00")&amp;" / "&amp;IF('P&amp;L Matrix'!S4&gt;0,"+$"&amp;TEXT('P&amp;L Matrix'!S4,"#,##0"),IF('P&amp;L Matrix'!S4&lt;0,"-$"&amp;TEXT(ABS('P&amp;L Matrix'!S4),"#,##0"),"$0"))</f>
        <v/>
      </c>
      <c r="T4" s="19">
        <f>TEXT('Option Price Matrix'!T4,"$0.00")&amp;" / "&amp;IF('P&amp;L Matrix'!T4&gt;0,"+$"&amp;TEXT('P&amp;L Matrix'!T4,"#,##0"),IF('P&amp;L Matrix'!T4&lt;0,"-$"&amp;TEXT(ABS('P&amp;L Matrix'!T4),"#,##0"),"$0"))</f>
        <v/>
      </c>
      <c r="U4" s="19">
        <f>TEXT('Option Price Matrix'!U4,"$0.00")&amp;" / "&amp;IF('P&amp;L Matrix'!U4&gt;0,"+$"&amp;TEXT('P&amp;L Matrix'!U4,"#,##0"),IF('P&amp;L Matrix'!U4&lt;0,"-$"&amp;TEXT(ABS('P&amp;L Matrix'!U4),"#,##0"),"$0"))</f>
        <v/>
      </c>
    </row>
    <row r="5" ht="22" customHeight="1">
      <c r="A5" s="15" t="n">
        <v>0.02</v>
      </c>
      <c r="B5" s="26">
        <f>'Assumptions'!$B$4*(1-A5)</f>
        <v/>
      </c>
      <c r="C5" s="19">
        <f>TEXT('Option Price Matrix'!C5,"$0.00")&amp;" / "&amp;IF('P&amp;L Matrix'!C5&gt;0,"+$"&amp;TEXT('P&amp;L Matrix'!C5,"#,##0"),IF('P&amp;L Matrix'!C5&lt;0,"-$"&amp;TEXT(ABS('P&amp;L Matrix'!C5),"#,##0"),"$0"))</f>
        <v/>
      </c>
      <c r="D5" s="19">
        <f>TEXT('Option Price Matrix'!D5,"$0.00")&amp;" / "&amp;IF('P&amp;L Matrix'!D5&gt;0,"+$"&amp;TEXT('P&amp;L Matrix'!D5,"#,##0"),IF('P&amp;L Matrix'!D5&lt;0,"-$"&amp;TEXT(ABS('P&amp;L Matrix'!D5),"#,##0"),"$0"))</f>
        <v/>
      </c>
      <c r="E5" s="19">
        <f>TEXT('Option Price Matrix'!E5,"$0.00")&amp;" / "&amp;IF('P&amp;L Matrix'!E5&gt;0,"+$"&amp;TEXT('P&amp;L Matrix'!E5,"#,##0"),IF('P&amp;L Matrix'!E5&lt;0,"-$"&amp;TEXT(ABS('P&amp;L Matrix'!E5),"#,##0"),"$0"))</f>
        <v/>
      </c>
      <c r="F5" s="19">
        <f>TEXT('Option Price Matrix'!F5,"$0.00")&amp;" / "&amp;IF('P&amp;L Matrix'!F5&gt;0,"+$"&amp;TEXT('P&amp;L Matrix'!F5,"#,##0"),IF('P&amp;L Matrix'!F5&lt;0,"-$"&amp;TEXT(ABS('P&amp;L Matrix'!F5),"#,##0"),"$0"))</f>
        <v/>
      </c>
      <c r="G5" s="19">
        <f>TEXT('Option Price Matrix'!G5,"$0.00")&amp;" / "&amp;IF('P&amp;L Matrix'!G5&gt;0,"+$"&amp;TEXT('P&amp;L Matrix'!G5,"#,##0"),IF('P&amp;L Matrix'!G5&lt;0,"-$"&amp;TEXT(ABS('P&amp;L Matrix'!G5),"#,##0"),"$0"))</f>
        <v/>
      </c>
      <c r="H5" s="19">
        <f>TEXT('Option Price Matrix'!H5,"$0.00")&amp;" / "&amp;IF('P&amp;L Matrix'!H5&gt;0,"+$"&amp;TEXT('P&amp;L Matrix'!H5,"#,##0"),IF('P&amp;L Matrix'!H5&lt;0,"-$"&amp;TEXT(ABS('P&amp;L Matrix'!H5),"#,##0"),"$0"))</f>
        <v/>
      </c>
      <c r="I5" s="19">
        <f>TEXT('Option Price Matrix'!I5,"$0.00")&amp;" / "&amp;IF('P&amp;L Matrix'!I5&gt;0,"+$"&amp;TEXT('P&amp;L Matrix'!I5,"#,##0"),IF('P&amp;L Matrix'!I5&lt;0,"-$"&amp;TEXT(ABS('P&amp;L Matrix'!I5),"#,##0"),"$0"))</f>
        <v/>
      </c>
      <c r="J5" s="19">
        <f>TEXT('Option Price Matrix'!J5,"$0.00")&amp;" / "&amp;IF('P&amp;L Matrix'!J5&gt;0,"+$"&amp;TEXT('P&amp;L Matrix'!J5,"#,##0"),IF('P&amp;L Matrix'!J5&lt;0,"-$"&amp;TEXT(ABS('P&amp;L Matrix'!J5),"#,##0"),"$0"))</f>
        <v/>
      </c>
      <c r="K5" s="19">
        <f>TEXT('Option Price Matrix'!K5,"$0.00")&amp;" / "&amp;IF('P&amp;L Matrix'!K5&gt;0,"+$"&amp;TEXT('P&amp;L Matrix'!K5,"#,##0"),IF('P&amp;L Matrix'!K5&lt;0,"-$"&amp;TEXT(ABS('P&amp;L Matrix'!K5),"#,##0"),"$0"))</f>
        <v/>
      </c>
      <c r="L5" s="19">
        <f>TEXT('Option Price Matrix'!L5,"$0.00")&amp;" / "&amp;IF('P&amp;L Matrix'!L5&gt;0,"+$"&amp;TEXT('P&amp;L Matrix'!L5,"#,##0"),IF('P&amp;L Matrix'!L5&lt;0,"-$"&amp;TEXT(ABS('P&amp;L Matrix'!L5),"#,##0"),"$0"))</f>
        <v/>
      </c>
      <c r="M5" s="19">
        <f>TEXT('Option Price Matrix'!M5,"$0.00")&amp;" / "&amp;IF('P&amp;L Matrix'!M5&gt;0,"+$"&amp;TEXT('P&amp;L Matrix'!M5,"#,##0"),IF('P&amp;L Matrix'!M5&lt;0,"-$"&amp;TEXT(ABS('P&amp;L Matrix'!M5),"#,##0"),"$0"))</f>
        <v/>
      </c>
      <c r="N5" s="19">
        <f>TEXT('Option Price Matrix'!N5,"$0.00")&amp;" / "&amp;IF('P&amp;L Matrix'!N5&gt;0,"+$"&amp;TEXT('P&amp;L Matrix'!N5,"#,##0"),IF('P&amp;L Matrix'!N5&lt;0,"-$"&amp;TEXT(ABS('P&amp;L Matrix'!N5),"#,##0"),"$0"))</f>
        <v/>
      </c>
      <c r="O5" s="19">
        <f>TEXT('Option Price Matrix'!O5,"$0.00")&amp;" / "&amp;IF('P&amp;L Matrix'!O5&gt;0,"+$"&amp;TEXT('P&amp;L Matrix'!O5,"#,##0"),IF('P&amp;L Matrix'!O5&lt;0,"-$"&amp;TEXT(ABS('P&amp;L Matrix'!O5),"#,##0"),"$0"))</f>
        <v/>
      </c>
      <c r="P5" s="19">
        <f>TEXT('Option Price Matrix'!P5,"$0.00")&amp;" / "&amp;IF('P&amp;L Matrix'!P5&gt;0,"+$"&amp;TEXT('P&amp;L Matrix'!P5,"#,##0"),IF('P&amp;L Matrix'!P5&lt;0,"-$"&amp;TEXT(ABS('P&amp;L Matrix'!P5),"#,##0"),"$0"))</f>
        <v/>
      </c>
      <c r="Q5" s="19">
        <f>TEXT('Option Price Matrix'!Q5,"$0.00")&amp;" / "&amp;IF('P&amp;L Matrix'!Q5&gt;0,"+$"&amp;TEXT('P&amp;L Matrix'!Q5,"#,##0"),IF('P&amp;L Matrix'!Q5&lt;0,"-$"&amp;TEXT(ABS('P&amp;L Matrix'!Q5),"#,##0"),"$0"))</f>
        <v/>
      </c>
      <c r="R5" s="19">
        <f>TEXT('Option Price Matrix'!R5,"$0.00")&amp;" / "&amp;IF('P&amp;L Matrix'!R5&gt;0,"+$"&amp;TEXT('P&amp;L Matrix'!R5,"#,##0"),IF('P&amp;L Matrix'!R5&lt;0,"-$"&amp;TEXT(ABS('P&amp;L Matrix'!R5),"#,##0"),"$0"))</f>
        <v/>
      </c>
      <c r="S5" s="19">
        <f>TEXT('Option Price Matrix'!S5,"$0.00")&amp;" / "&amp;IF('P&amp;L Matrix'!S5&gt;0,"+$"&amp;TEXT('P&amp;L Matrix'!S5,"#,##0"),IF('P&amp;L Matrix'!S5&lt;0,"-$"&amp;TEXT(ABS('P&amp;L Matrix'!S5),"#,##0"),"$0"))</f>
        <v/>
      </c>
      <c r="T5" s="19">
        <f>TEXT('Option Price Matrix'!T5,"$0.00")&amp;" / "&amp;IF('P&amp;L Matrix'!T5&gt;0,"+$"&amp;TEXT('P&amp;L Matrix'!T5,"#,##0"),IF('P&amp;L Matrix'!T5&lt;0,"-$"&amp;TEXT(ABS('P&amp;L Matrix'!T5),"#,##0"),"$0"))</f>
        <v/>
      </c>
      <c r="U5" s="19">
        <f>TEXT('Option Price Matrix'!U5,"$0.00")&amp;" / "&amp;IF('P&amp;L Matrix'!U5&gt;0,"+$"&amp;TEXT('P&amp;L Matrix'!U5,"#,##0"),IF('P&amp;L Matrix'!U5&lt;0,"-$"&amp;TEXT(ABS('P&amp;L Matrix'!U5),"#,##0"),"$0"))</f>
        <v/>
      </c>
    </row>
    <row r="6" ht="22" customHeight="1">
      <c r="A6" s="15" t="n">
        <v>0.03</v>
      </c>
      <c r="B6" s="26">
        <f>'Assumptions'!$B$4*(1-A6)</f>
        <v/>
      </c>
      <c r="C6" s="19">
        <f>TEXT('Option Price Matrix'!C6,"$0.00")&amp;" / "&amp;IF('P&amp;L Matrix'!C6&gt;0,"+$"&amp;TEXT('P&amp;L Matrix'!C6,"#,##0"),IF('P&amp;L Matrix'!C6&lt;0,"-$"&amp;TEXT(ABS('P&amp;L Matrix'!C6),"#,##0"),"$0"))</f>
        <v/>
      </c>
      <c r="D6" s="19">
        <f>TEXT('Option Price Matrix'!D6,"$0.00")&amp;" / "&amp;IF('P&amp;L Matrix'!D6&gt;0,"+$"&amp;TEXT('P&amp;L Matrix'!D6,"#,##0"),IF('P&amp;L Matrix'!D6&lt;0,"-$"&amp;TEXT(ABS('P&amp;L Matrix'!D6),"#,##0"),"$0"))</f>
        <v/>
      </c>
      <c r="E6" s="19">
        <f>TEXT('Option Price Matrix'!E6,"$0.00")&amp;" / "&amp;IF('P&amp;L Matrix'!E6&gt;0,"+$"&amp;TEXT('P&amp;L Matrix'!E6,"#,##0"),IF('P&amp;L Matrix'!E6&lt;0,"-$"&amp;TEXT(ABS('P&amp;L Matrix'!E6),"#,##0"),"$0"))</f>
        <v/>
      </c>
      <c r="F6" s="19">
        <f>TEXT('Option Price Matrix'!F6,"$0.00")&amp;" / "&amp;IF('P&amp;L Matrix'!F6&gt;0,"+$"&amp;TEXT('P&amp;L Matrix'!F6,"#,##0"),IF('P&amp;L Matrix'!F6&lt;0,"-$"&amp;TEXT(ABS('P&amp;L Matrix'!F6),"#,##0"),"$0"))</f>
        <v/>
      </c>
      <c r="G6" s="19">
        <f>TEXT('Option Price Matrix'!G6,"$0.00")&amp;" / "&amp;IF('P&amp;L Matrix'!G6&gt;0,"+$"&amp;TEXT('P&amp;L Matrix'!G6,"#,##0"),IF('P&amp;L Matrix'!G6&lt;0,"-$"&amp;TEXT(ABS('P&amp;L Matrix'!G6),"#,##0"),"$0"))</f>
        <v/>
      </c>
      <c r="H6" s="19">
        <f>TEXT('Option Price Matrix'!H6,"$0.00")&amp;" / "&amp;IF('P&amp;L Matrix'!H6&gt;0,"+$"&amp;TEXT('P&amp;L Matrix'!H6,"#,##0"),IF('P&amp;L Matrix'!H6&lt;0,"-$"&amp;TEXT(ABS('P&amp;L Matrix'!H6),"#,##0"),"$0"))</f>
        <v/>
      </c>
      <c r="I6" s="19">
        <f>TEXT('Option Price Matrix'!I6,"$0.00")&amp;" / "&amp;IF('P&amp;L Matrix'!I6&gt;0,"+$"&amp;TEXT('P&amp;L Matrix'!I6,"#,##0"),IF('P&amp;L Matrix'!I6&lt;0,"-$"&amp;TEXT(ABS('P&amp;L Matrix'!I6),"#,##0"),"$0"))</f>
        <v/>
      </c>
      <c r="J6" s="19">
        <f>TEXT('Option Price Matrix'!J6,"$0.00")&amp;" / "&amp;IF('P&amp;L Matrix'!J6&gt;0,"+$"&amp;TEXT('P&amp;L Matrix'!J6,"#,##0"),IF('P&amp;L Matrix'!J6&lt;0,"-$"&amp;TEXT(ABS('P&amp;L Matrix'!J6),"#,##0"),"$0"))</f>
        <v/>
      </c>
      <c r="K6" s="19">
        <f>TEXT('Option Price Matrix'!K6,"$0.00")&amp;" / "&amp;IF('P&amp;L Matrix'!K6&gt;0,"+$"&amp;TEXT('P&amp;L Matrix'!K6,"#,##0"),IF('P&amp;L Matrix'!K6&lt;0,"-$"&amp;TEXT(ABS('P&amp;L Matrix'!K6),"#,##0"),"$0"))</f>
        <v/>
      </c>
      <c r="L6" s="19">
        <f>TEXT('Option Price Matrix'!L6,"$0.00")&amp;" / "&amp;IF('P&amp;L Matrix'!L6&gt;0,"+$"&amp;TEXT('P&amp;L Matrix'!L6,"#,##0"),IF('P&amp;L Matrix'!L6&lt;0,"-$"&amp;TEXT(ABS('P&amp;L Matrix'!L6),"#,##0"),"$0"))</f>
        <v/>
      </c>
      <c r="M6" s="19">
        <f>TEXT('Option Price Matrix'!M6,"$0.00")&amp;" / "&amp;IF('P&amp;L Matrix'!M6&gt;0,"+$"&amp;TEXT('P&amp;L Matrix'!M6,"#,##0"),IF('P&amp;L Matrix'!M6&lt;0,"-$"&amp;TEXT(ABS('P&amp;L Matrix'!M6),"#,##0"),"$0"))</f>
        <v/>
      </c>
      <c r="N6" s="19">
        <f>TEXT('Option Price Matrix'!N6,"$0.00")&amp;" / "&amp;IF('P&amp;L Matrix'!N6&gt;0,"+$"&amp;TEXT('P&amp;L Matrix'!N6,"#,##0"),IF('P&amp;L Matrix'!N6&lt;0,"-$"&amp;TEXT(ABS('P&amp;L Matrix'!N6),"#,##0"),"$0"))</f>
        <v/>
      </c>
      <c r="O6" s="19">
        <f>TEXT('Option Price Matrix'!O6,"$0.00")&amp;" / "&amp;IF('P&amp;L Matrix'!O6&gt;0,"+$"&amp;TEXT('P&amp;L Matrix'!O6,"#,##0"),IF('P&amp;L Matrix'!O6&lt;0,"-$"&amp;TEXT(ABS('P&amp;L Matrix'!O6),"#,##0"),"$0"))</f>
        <v/>
      </c>
      <c r="P6" s="19">
        <f>TEXT('Option Price Matrix'!P6,"$0.00")&amp;" / "&amp;IF('P&amp;L Matrix'!P6&gt;0,"+$"&amp;TEXT('P&amp;L Matrix'!P6,"#,##0"),IF('P&amp;L Matrix'!P6&lt;0,"-$"&amp;TEXT(ABS('P&amp;L Matrix'!P6),"#,##0"),"$0"))</f>
        <v/>
      </c>
      <c r="Q6" s="19">
        <f>TEXT('Option Price Matrix'!Q6,"$0.00")&amp;" / "&amp;IF('P&amp;L Matrix'!Q6&gt;0,"+$"&amp;TEXT('P&amp;L Matrix'!Q6,"#,##0"),IF('P&amp;L Matrix'!Q6&lt;0,"-$"&amp;TEXT(ABS('P&amp;L Matrix'!Q6),"#,##0"),"$0"))</f>
        <v/>
      </c>
      <c r="R6" s="19">
        <f>TEXT('Option Price Matrix'!R6,"$0.00")&amp;" / "&amp;IF('P&amp;L Matrix'!R6&gt;0,"+$"&amp;TEXT('P&amp;L Matrix'!R6,"#,##0"),IF('P&amp;L Matrix'!R6&lt;0,"-$"&amp;TEXT(ABS('P&amp;L Matrix'!R6),"#,##0"),"$0"))</f>
        <v/>
      </c>
      <c r="S6" s="19">
        <f>TEXT('Option Price Matrix'!S6,"$0.00")&amp;" / "&amp;IF('P&amp;L Matrix'!S6&gt;0,"+$"&amp;TEXT('P&amp;L Matrix'!S6,"#,##0"),IF('P&amp;L Matrix'!S6&lt;0,"-$"&amp;TEXT(ABS('P&amp;L Matrix'!S6),"#,##0"),"$0"))</f>
        <v/>
      </c>
      <c r="T6" s="19">
        <f>TEXT('Option Price Matrix'!T6,"$0.00")&amp;" / "&amp;IF('P&amp;L Matrix'!T6&gt;0,"+$"&amp;TEXT('P&amp;L Matrix'!T6,"#,##0"),IF('P&amp;L Matrix'!T6&lt;0,"-$"&amp;TEXT(ABS('P&amp;L Matrix'!T6),"#,##0"),"$0"))</f>
        <v/>
      </c>
      <c r="U6" s="19">
        <f>TEXT('Option Price Matrix'!U6,"$0.00")&amp;" / "&amp;IF('P&amp;L Matrix'!U6&gt;0,"+$"&amp;TEXT('P&amp;L Matrix'!U6,"#,##0"),IF('P&amp;L Matrix'!U6&lt;0,"-$"&amp;TEXT(ABS('P&amp;L Matrix'!U6),"#,##0"),"$0"))</f>
        <v/>
      </c>
    </row>
    <row r="7" ht="22" customHeight="1">
      <c r="A7" s="15" t="n">
        <v>0.04</v>
      </c>
      <c r="B7" s="26">
        <f>'Assumptions'!$B$4*(1-A7)</f>
        <v/>
      </c>
      <c r="C7" s="19">
        <f>TEXT('Option Price Matrix'!C7,"$0.00")&amp;" / "&amp;IF('P&amp;L Matrix'!C7&gt;0,"+$"&amp;TEXT('P&amp;L Matrix'!C7,"#,##0"),IF('P&amp;L Matrix'!C7&lt;0,"-$"&amp;TEXT(ABS('P&amp;L Matrix'!C7),"#,##0"),"$0"))</f>
        <v/>
      </c>
      <c r="D7" s="19">
        <f>TEXT('Option Price Matrix'!D7,"$0.00")&amp;" / "&amp;IF('P&amp;L Matrix'!D7&gt;0,"+$"&amp;TEXT('P&amp;L Matrix'!D7,"#,##0"),IF('P&amp;L Matrix'!D7&lt;0,"-$"&amp;TEXT(ABS('P&amp;L Matrix'!D7),"#,##0"),"$0"))</f>
        <v/>
      </c>
      <c r="E7" s="19">
        <f>TEXT('Option Price Matrix'!E7,"$0.00")&amp;" / "&amp;IF('P&amp;L Matrix'!E7&gt;0,"+$"&amp;TEXT('P&amp;L Matrix'!E7,"#,##0"),IF('P&amp;L Matrix'!E7&lt;0,"-$"&amp;TEXT(ABS('P&amp;L Matrix'!E7),"#,##0"),"$0"))</f>
        <v/>
      </c>
      <c r="F7" s="19">
        <f>TEXT('Option Price Matrix'!F7,"$0.00")&amp;" / "&amp;IF('P&amp;L Matrix'!F7&gt;0,"+$"&amp;TEXT('P&amp;L Matrix'!F7,"#,##0"),IF('P&amp;L Matrix'!F7&lt;0,"-$"&amp;TEXT(ABS('P&amp;L Matrix'!F7),"#,##0"),"$0"))</f>
        <v/>
      </c>
      <c r="G7" s="19">
        <f>TEXT('Option Price Matrix'!G7,"$0.00")&amp;" / "&amp;IF('P&amp;L Matrix'!G7&gt;0,"+$"&amp;TEXT('P&amp;L Matrix'!G7,"#,##0"),IF('P&amp;L Matrix'!G7&lt;0,"-$"&amp;TEXT(ABS('P&amp;L Matrix'!G7),"#,##0"),"$0"))</f>
        <v/>
      </c>
      <c r="H7" s="19">
        <f>TEXT('Option Price Matrix'!H7,"$0.00")&amp;" / "&amp;IF('P&amp;L Matrix'!H7&gt;0,"+$"&amp;TEXT('P&amp;L Matrix'!H7,"#,##0"),IF('P&amp;L Matrix'!H7&lt;0,"-$"&amp;TEXT(ABS('P&amp;L Matrix'!H7),"#,##0"),"$0"))</f>
        <v/>
      </c>
      <c r="I7" s="19">
        <f>TEXT('Option Price Matrix'!I7,"$0.00")&amp;" / "&amp;IF('P&amp;L Matrix'!I7&gt;0,"+$"&amp;TEXT('P&amp;L Matrix'!I7,"#,##0"),IF('P&amp;L Matrix'!I7&lt;0,"-$"&amp;TEXT(ABS('P&amp;L Matrix'!I7),"#,##0"),"$0"))</f>
        <v/>
      </c>
      <c r="J7" s="19">
        <f>TEXT('Option Price Matrix'!J7,"$0.00")&amp;" / "&amp;IF('P&amp;L Matrix'!J7&gt;0,"+$"&amp;TEXT('P&amp;L Matrix'!J7,"#,##0"),IF('P&amp;L Matrix'!J7&lt;0,"-$"&amp;TEXT(ABS('P&amp;L Matrix'!J7),"#,##0"),"$0"))</f>
        <v/>
      </c>
      <c r="K7" s="19">
        <f>TEXT('Option Price Matrix'!K7,"$0.00")&amp;" / "&amp;IF('P&amp;L Matrix'!K7&gt;0,"+$"&amp;TEXT('P&amp;L Matrix'!K7,"#,##0"),IF('P&amp;L Matrix'!K7&lt;0,"-$"&amp;TEXT(ABS('P&amp;L Matrix'!K7),"#,##0"),"$0"))</f>
        <v/>
      </c>
      <c r="L7" s="19">
        <f>TEXT('Option Price Matrix'!L7,"$0.00")&amp;" / "&amp;IF('P&amp;L Matrix'!L7&gt;0,"+$"&amp;TEXT('P&amp;L Matrix'!L7,"#,##0"),IF('P&amp;L Matrix'!L7&lt;0,"-$"&amp;TEXT(ABS('P&amp;L Matrix'!L7),"#,##0"),"$0"))</f>
        <v/>
      </c>
      <c r="M7" s="19">
        <f>TEXT('Option Price Matrix'!M7,"$0.00")&amp;" / "&amp;IF('P&amp;L Matrix'!M7&gt;0,"+$"&amp;TEXT('P&amp;L Matrix'!M7,"#,##0"),IF('P&amp;L Matrix'!M7&lt;0,"-$"&amp;TEXT(ABS('P&amp;L Matrix'!M7),"#,##0"),"$0"))</f>
        <v/>
      </c>
      <c r="N7" s="19">
        <f>TEXT('Option Price Matrix'!N7,"$0.00")&amp;" / "&amp;IF('P&amp;L Matrix'!N7&gt;0,"+$"&amp;TEXT('P&amp;L Matrix'!N7,"#,##0"),IF('P&amp;L Matrix'!N7&lt;0,"-$"&amp;TEXT(ABS('P&amp;L Matrix'!N7),"#,##0"),"$0"))</f>
        <v/>
      </c>
      <c r="O7" s="19">
        <f>TEXT('Option Price Matrix'!O7,"$0.00")&amp;" / "&amp;IF('P&amp;L Matrix'!O7&gt;0,"+$"&amp;TEXT('P&amp;L Matrix'!O7,"#,##0"),IF('P&amp;L Matrix'!O7&lt;0,"-$"&amp;TEXT(ABS('P&amp;L Matrix'!O7),"#,##0"),"$0"))</f>
        <v/>
      </c>
      <c r="P7" s="19">
        <f>TEXT('Option Price Matrix'!P7,"$0.00")&amp;" / "&amp;IF('P&amp;L Matrix'!P7&gt;0,"+$"&amp;TEXT('P&amp;L Matrix'!P7,"#,##0"),IF('P&amp;L Matrix'!P7&lt;0,"-$"&amp;TEXT(ABS('P&amp;L Matrix'!P7),"#,##0"),"$0"))</f>
        <v/>
      </c>
      <c r="Q7" s="19">
        <f>TEXT('Option Price Matrix'!Q7,"$0.00")&amp;" / "&amp;IF('P&amp;L Matrix'!Q7&gt;0,"+$"&amp;TEXT('P&amp;L Matrix'!Q7,"#,##0"),IF('P&amp;L Matrix'!Q7&lt;0,"-$"&amp;TEXT(ABS('P&amp;L Matrix'!Q7),"#,##0"),"$0"))</f>
        <v/>
      </c>
      <c r="R7" s="19">
        <f>TEXT('Option Price Matrix'!R7,"$0.00")&amp;" / "&amp;IF('P&amp;L Matrix'!R7&gt;0,"+$"&amp;TEXT('P&amp;L Matrix'!R7,"#,##0"),IF('P&amp;L Matrix'!R7&lt;0,"-$"&amp;TEXT(ABS('P&amp;L Matrix'!R7),"#,##0"),"$0"))</f>
        <v/>
      </c>
      <c r="S7" s="19">
        <f>TEXT('Option Price Matrix'!S7,"$0.00")&amp;" / "&amp;IF('P&amp;L Matrix'!S7&gt;0,"+$"&amp;TEXT('P&amp;L Matrix'!S7,"#,##0"),IF('P&amp;L Matrix'!S7&lt;0,"-$"&amp;TEXT(ABS('P&amp;L Matrix'!S7),"#,##0"),"$0"))</f>
        <v/>
      </c>
      <c r="T7" s="19">
        <f>TEXT('Option Price Matrix'!T7,"$0.00")&amp;" / "&amp;IF('P&amp;L Matrix'!T7&gt;0,"+$"&amp;TEXT('P&amp;L Matrix'!T7,"#,##0"),IF('P&amp;L Matrix'!T7&lt;0,"-$"&amp;TEXT(ABS('P&amp;L Matrix'!T7),"#,##0"),"$0"))</f>
        <v/>
      </c>
      <c r="U7" s="19">
        <f>TEXT('Option Price Matrix'!U7,"$0.00")&amp;" / "&amp;IF('P&amp;L Matrix'!U7&gt;0,"+$"&amp;TEXT('P&amp;L Matrix'!U7,"#,##0"),IF('P&amp;L Matrix'!U7&lt;0,"-$"&amp;TEXT(ABS('P&amp;L Matrix'!U7),"#,##0"),"$0"))</f>
        <v/>
      </c>
    </row>
    <row r="8" ht="22" customHeight="1">
      <c r="A8" s="15" t="n">
        <v>0.05</v>
      </c>
      <c r="B8" s="26">
        <f>'Assumptions'!$B$4*(1-A8)</f>
        <v/>
      </c>
      <c r="C8" s="19">
        <f>TEXT('Option Price Matrix'!C8,"$0.00")&amp;" / "&amp;IF('P&amp;L Matrix'!C8&gt;0,"+$"&amp;TEXT('P&amp;L Matrix'!C8,"#,##0"),IF('P&amp;L Matrix'!C8&lt;0,"-$"&amp;TEXT(ABS('P&amp;L Matrix'!C8),"#,##0"),"$0"))</f>
        <v/>
      </c>
      <c r="D8" s="19">
        <f>TEXT('Option Price Matrix'!D8,"$0.00")&amp;" / "&amp;IF('P&amp;L Matrix'!D8&gt;0,"+$"&amp;TEXT('P&amp;L Matrix'!D8,"#,##0"),IF('P&amp;L Matrix'!D8&lt;0,"-$"&amp;TEXT(ABS('P&amp;L Matrix'!D8),"#,##0"),"$0"))</f>
        <v/>
      </c>
      <c r="E8" s="19">
        <f>TEXT('Option Price Matrix'!E8,"$0.00")&amp;" / "&amp;IF('P&amp;L Matrix'!E8&gt;0,"+$"&amp;TEXT('P&amp;L Matrix'!E8,"#,##0"),IF('P&amp;L Matrix'!E8&lt;0,"-$"&amp;TEXT(ABS('P&amp;L Matrix'!E8),"#,##0"),"$0"))</f>
        <v/>
      </c>
      <c r="F8" s="19">
        <f>TEXT('Option Price Matrix'!F8,"$0.00")&amp;" / "&amp;IF('P&amp;L Matrix'!F8&gt;0,"+$"&amp;TEXT('P&amp;L Matrix'!F8,"#,##0"),IF('P&amp;L Matrix'!F8&lt;0,"-$"&amp;TEXT(ABS('P&amp;L Matrix'!F8),"#,##0"),"$0"))</f>
        <v/>
      </c>
      <c r="G8" s="19">
        <f>TEXT('Option Price Matrix'!G8,"$0.00")&amp;" / "&amp;IF('P&amp;L Matrix'!G8&gt;0,"+$"&amp;TEXT('P&amp;L Matrix'!G8,"#,##0"),IF('P&amp;L Matrix'!G8&lt;0,"-$"&amp;TEXT(ABS('P&amp;L Matrix'!G8),"#,##0"),"$0"))</f>
        <v/>
      </c>
      <c r="H8" s="19">
        <f>TEXT('Option Price Matrix'!H8,"$0.00")&amp;" / "&amp;IF('P&amp;L Matrix'!H8&gt;0,"+$"&amp;TEXT('P&amp;L Matrix'!H8,"#,##0"),IF('P&amp;L Matrix'!H8&lt;0,"-$"&amp;TEXT(ABS('P&amp;L Matrix'!H8),"#,##0"),"$0"))</f>
        <v/>
      </c>
      <c r="I8" s="19">
        <f>TEXT('Option Price Matrix'!I8,"$0.00")&amp;" / "&amp;IF('P&amp;L Matrix'!I8&gt;0,"+$"&amp;TEXT('P&amp;L Matrix'!I8,"#,##0"),IF('P&amp;L Matrix'!I8&lt;0,"-$"&amp;TEXT(ABS('P&amp;L Matrix'!I8),"#,##0"),"$0"))</f>
        <v/>
      </c>
      <c r="J8" s="19">
        <f>TEXT('Option Price Matrix'!J8,"$0.00")&amp;" / "&amp;IF('P&amp;L Matrix'!J8&gt;0,"+$"&amp;TEXT('P&amp;L Matrix'!J8,"#,##0"),IF('P&amp;L Matrix'!J8&lt;0,"-$"&amp;TEXT(ABS('P&amp;L Matrix'!J8),"#,##0"),"$0"))</f>
        <v/>
      </c>
      <c r="K8" s="19">
        <f>TEXT('Option Price Matrix'!K8,"$0.00")&amp;" / "&amp;IF('P&amp;L Matrix'!K8&gt;0,"+$"&amp;TEXT('P&amp;L Matrix'!K8,"#,##0"),IF('P&amp;L Matrix'!K8&lt;0,"-$"&amp;TEXT(ABS('P&amp;L Matrix'!K8),"#,##0"),"$0"))</f>
        <v/>
      </c>
      <c r="L8" s="19">
        <f>TEXT('Option Price Matrix'!L8,"$0.00")&amp;" / "&amp;IF('P&amp;L Matrix'!L8&gt;0,"+$"&amp;TEXT('P&amp;L Matrix'!L8,"#,##0"),IF('P&amp;L Matrix'!L8&lt;0,"-$"&amp;TEXT(ABS('P&amp;L Matrix'!L8),"#,##0"),"$0"))</f>
        <v/>
      </c>
      <c r="M8" s="19">
        <f>TEXT('Option Price Matrix'!M8,"$0.00")&amp;" / "&amp;IF('P&amp;L Matrix'!M8&gt;0,"+$"&amp;TEXT('P&amp;L Matrix'!M8,"#,##0"),IF('P&amp;L Matrix'!M8&lt;0,"-$"&amp;TEXT(ABS('P&amp;L Matrix'!M8),"#,##0"),"$0"))</f>
        <v/>
      </c>
      <c r="N8" s="19">
        <f>TEXT('Option Price Matrix'!N8,"$0.00")&amp;" / "&amp;IF('P&amp;L Matrix'!N8&gt;0,"+$"&amp;TEXT('P&amp;L Matrix'!N8,"#,##0"),IF('P&amp;L Matrix'!N8&lt;0,"-$"&amp;TEXT(ABS('P&amp;L Matrix'!N8),"#,##0"),"$0"))</f>
        <v/>
      </c>
      <c r="O8" s="19">
        <f>TEXT('Option Price Matrix'!O8,"$0.00")&amp;" / "&amp;IF('P&amp;L Matrix'!O8&gt;0,"+$"&amp;TEXT('P&amp;L Matrix'!O8,"#,##0"),IF('P&amp;L Matrix'!O8&lt;0,"-$"&amp;TEXT(ABS('P&amp;L Matrix'!O8),"#,##0"),"$0"))</f>
        <v/>
      </c>
      <c r="P8" s="19">
        <f>TEXT('Option Price Matrix'!P8,"$0.00")&amp;" / "&amp;IF('P&amp;L Matrix'!P8&gt;0,"+$"&amp;TEXT('P&amp;L Matrix'!P8,"#,##0"),IF('P&amp;L Matrix'!P8&lt;0,"-$"&amp;TEXT(ABS('P&amp;L Matrix'!P8),"#,##0"),"$0"))</f>
        <v/>
      </c>
      <c r="Q8" s="19">
        <f>TEXT('Option Price Matrix'!Q8,"$0.00")&amp;" / "&amp;IF('P&amp;L Matrix'!Q8&gt;0,"+$"&amp;TEXT('P&amp;L Matrix'!Q8,"#,##0"),IF('P&amp;L Matrix'!Q8&lt;0,"-$"&amp;TEXT(ABS('P&amp;L Matrix'!Q8),"#,##0"),"$0"))</f>
        <v/>
      </c>
      <c r="R8" s="19">
        <f>TEXT('Option Price Matrix'!R8,"$0.00")&amp;" / "&amp;IF('P&amp;L Matrix'!R8&gt;0,"+$"&amp;TEXT('P&amp;L Matrix'!R8,"#,##0"),IF('P&amp;L Matrix'!R8&lt;0,"-$"&amp;TEXT(ABS('P&amp;L Matrix'!R8),"#,##0"),"$0"))</f>
        <v/>
      </c>
      <c r="S8" s="19">
        <f>TEXT('Option Price Matrix'!S8,"$0.00")&amp;" / "&amp;IF('P&amp;L Matrix'!S8&gt;0,"+$"&amp;TEXT('P&amp;L Matrix'!S8,"#,##0"),IF('P&amp;L Matrix'!S8&lt;0,"-$"&amp;TEXT(ABS('P&amp;L Matrix'!S8),"#,##0"),"$0"))</f>
        <v/>
      </c>
      <c r="T8" s="19">
        <f>TEXT('Option Price Matrix'!T8,"$0.00")&amp;" / "&amp;IF('P&amp;L Matrix'!T8&gt;0,"+$"&amp;TEXT('P&amp;L Matrix'!T8,"#,##0"),IF('P&amp;L Matrix'!T8&lt;0,"-$"&amp;TEXT(ABS('P&amp;L Matrix'!T8),"#,##0"),"$0"))</f>
        <v/>
      </c>
      <c r="U8" s="19">
        <f>TEXT('Option Price Matrix'!U8,"$0.00")&amp;" / "&amp;IF('P&amp;L Matrix'!U8&gt;0,"+$"&amp;TEXT('P&amp;L Matrix'!U8,"#,##0"),IF('P&amp;L Matrix'!U8&lt;0,"-$"&amp;TEXT(ABS('P&amp;L Matrix'!U8),"#,##0"),"$0"))</f>
        <v/>
      </c>
    </row>
    <row r="9" ht="22" customHeight="1">
      <c r="A9" s="15" t="n">
        <v>0.06</v>
      </c>
      <c r="B9" s="26">
        <f>'Assumptions'!$B$4*(1-A9)</f>
        <v/>
      </c>
      <c r="C9" s="19">
        <f>TEXT('Option Price Matrix'!C9,"$0.00")&amp;" / "&amp;IF('P&amp;L Matrix'!C9&gt;0,"+$"&amp;TEXT('P&amp;L Matrix'!C9,"#,##0"),IF('P&amp;L Matrix'!C9&lt;0,"-$"&amp;TEXT(ABS('P&amp;L Matrix'!C9),"#,##0"),"$0"))</f>
        <v/>
      </c>
      <c r="D9" s="19">
        <f>TEXT('Option Price Matrix'!D9,"$0.00")&amp;" / "&amp;IF('P&amp;L Matrix'!D9&gt;0,"+$"&amp;TEXT('P&amp;L Matrix'!D9,"#,##0"),IF('P&amp;L Matrix'!D9&lt;0,"-$"&amp;TEXT(ABS('P&amp;L Matrix'!D9),"#,##0"),"$0"))</f>
        <v/>
      </c>
      <c r="E9" s="19">
        <f>TEXT('Option Price Matrix'!E9,"$0.00")&amp;" / "&amp;IF('P&amp;L Matrix'!E9&gt;0,"+$"&amp;TEXT('P&amp;L Matrix'!E9,"#,##0"),IF('P&amp;L Matrix'!E9&lt;0,"-$"&amp;TEXT(ABS('P&amp;L Matrix'!E9),"#,##0"),"$0"))</f>
        <v/>
      </c>
      <c r="F9" s="19">
        <f>TEXT('Option Price Matrix'!F9,"$0.00")&amp;" / "&amp;IF('P&amp;L Matrix'!F9&gt;0,"+$"&amp;TEXT('P&amp;L Matrix'!F9,"#,##0"),IF('P&amp;L Matrix'!F9&lt;0,"-$"&amp;TEXT(ABS('P&amp;L Matrix'!F9),"#,##0"),"$0"))</f>
        <v/>
      </c>
      <c r="G9" s="19">
        <f>TEXT('Option Price Matrix'!G9,"$0.00")&amp;" / "&amp;IF('P&amp;L Matrix'!G9&gt;0,"+$"&amp;TEXT('P&amp;L Matrix'!G9,"#,##0"),IF('P&amp;L Matrix'!G9&lt;0,"-$"&amp;TEXT(ABS('P&amp;L Matrix'!G9),"#,##0"),"$0"))</f>
        <v/>
      </c>
      <c r="H9" s="19">
        <f>TEXT('Option Price Matrix'!H9,"$0.00")&amp;" / "&amp;IF('P&amp;L Matrix'!H9&gt;0,"+$"&amp;TEXT('P&amp;L Matrix'!H9,"#,##0"),IF('P&amp;L Matrix'!H9&lt;0,"-$"&amp;TEXT(ABS('P&amp;L Matrix'!H9),"#,##0"),"$0"))</f>
        <v/>
      </c>
      <c r="I9" s="19">
        <f>TEXT('Option Price Matrix'!I9,"$0.00")&amp;" / "&amp;IF('P&amp;L Matrix'!I9&gt;0,"+$"&amp;TEXT('P&amp;L Matrix'!I9,"#,##0"),IF('P&amp;L Matrix'!I9&lt;0,"-$"&amp;TEXT(ABS('P&amp;L Matrix'!I9),"#,##0"),"$0"))</f>
        <v/>
      </c>
      <c r="J9" s="19">
        <f>TEXT('Option Price Matrix'!J9,"$0.00")&amp;" / "&amp;IF('P&amp;L Matrix'!J9&gt;0,"+$"&amp;TEXT('P&amp;L Matrix'!J9,"#,##0"),IF('P&amp;L Matrix'!J9&lt;0,"-$"&amp;TEXT(ABS('P&amp;L Matrix'!J9),"#,##0"),"$0"))</f>
        <v/>
      </c>
      <c r="K9" s="19">
        <f>TEXT('Option Price Matrix'!K9,"$0.00")&amp;" / "&amp;IF('P&amp;L Matrix'!K9&gt;0,"+$"&amp;TEXT('P&amp;L Matrix'!K9,"#,##0"),IF('P&amp;L Matrix'!K9&lt;0,"-$"&amp;TEXT(ABS('P&amp;L Matrix'!K9),"#,##0"),"$0"))</f>
        <v/>
      </c>
      <c r="L9" s="19">
        <f>TEXT('Option Price Matrix'!L9,"$0.00")&amp;" / "&amp;IF('P&amp;L Matrix'!L9&gt;0,"+$"&amp;TEXT('P&amp;L Matrix'!L9,"#,##0"),IF('P&amp;L Matrix'!L9&lt;0,"-$"&amp;TEXT(ABS('P&amp;L Matrix'!L9),"#,##0"),"$0"))</f>
        <v/>
      </c>
      <c r="M9" s="19">
        <f>TEXT('Option Price Matrix'!M9,"$0.00")&amp;" / "&amp;IF('P&amp;L Matrix'!M9&gt;0,"+$"&amp;TEXT('P&amp;L Matrix'!M9,"#,##0"),IF('P&amp;L Matrix'!M9&lt;0,"-$"&amp;TEXT(ABS('P&amp;L Matrix'!M9),"#,##0"),"$0"))</f>
        <v/>
      </c>
      <c r="N9" s="19">
        <f>TEXT('Option Price Matrix'!N9,"$0.00")&amp;" / "&amp;IF('P&amp;L Matrix'!N9&gt;0,"+$"&amp;TEXT('P&amp;L Matrix'!N9,"#,##0"),IF('P&amp;L Matrix'!N9&lt;0,"-$"&amp;TEXT(ABS('P&amp;L Matrix'!N9),"#,##0"),"$0"))</f>
        <v/>
      </c>
      <c r="O9" s="19">
        <f>TEXT('Option Price Matrix'!O9,"$0.00")&amp;" / "&amp;IF('P&amp;L Matrix'!O9&gt;0,"+$"&amp;TEXT('P&amp;L Matrix'!O9,"#,##0"),IF('P&amp;L Matrix'!O9&lt;0,"-$"&amp;TEXT(ABS('P&amp;L Matrix'!O9),"#,##0"),"$0"))</f>
        <v/>
      </c>
      <c r="P9" s="19">
        <f>TEXT('Option Price Matrix'!P9,"$0.00")&amp;" / "&amp;IF('P&amp;L Matrix'!P9&gt;0,"+$"&amp;TEXT('P&amp;L Matrix'!P9,"#,##0"),IF('P&amp;L Matrix'!P9&lt;0,"-$"&amp;TEXT(ABS('P&amp;L Matrix'!P9),"#,##0"),"$0"))</f>
        <v/>
      </c>
      <c r="Q9" s="19">
        <f>TEXT('Option Price Matrix'!Q9,"$0.00")&amp;" / "&amp;IF('P&amp;L Matrix'!Q9&gt;0,"+$"&amp;TEXT('P&amp;L Matrix'!Q9,"#,##0"),IF('P&amp;L Matrix'!Q9&lt;0,"-$"&amp;TEXT(ABS('P&amp;L Matrix'!Q9),"#,##0"),"$0"))</f>
        <v/>
      </c>
      <c r="R9" s="19">
        <f>TEXT('Option Price Matrix'!R9,"$0.00")&amp;" / "&amp;IF('P&amp;L Matrix'!R9&gt;0,"+$"&amp;TEXT('P&amp;L Matrix'!R9,"#,##0"),IF('P&amp;L Matrix'!R9&lt;0,"-$"&amp;TEXT(ABS('P&amp;L Matrix'!R9),"#,##0"),"$0"))</f>
        <v/>
      </c>
      <c r="S9" s="19">
        <f>TEXT('Option Price Matrix'!S9,"$0.00")&amp;" / "&amp;IF('P&amp;L Matrix'!S9&gt;0,"+$"&amp;TEXT('P&amp;L Matrix'!S9,"#,##0"),IF('P&amp;L Matrix'!S9&lt;0,"-$"&amp;TEXT(ABS('P&amp;L Matrix'!S9),"#,##0"),"$0"))</f>
        <v/>
      </c>
      <c r="T9" s="19">
        <f>TEXT('Option Price Matrix'!T9,"$0.00")&amp;" / "&amp;IF('P&amp;L Matrix'!T9&gt;0,"+$"&amp;TEXT('P&amp;L Matrix'!T9,"#,##0"),IF('P&amp;L Matrix'!T9&lt;0,"-$"&amp;TEXT(ABS('P&amp;L Matrix'!T9),"#,##0"),"$0"))</f>
        <v/>
      </c>
      <c r="U9" s="19">
        <f>TEXT('Option Price Matrix'!U9,"$0.00")&amp;" / "&amp;IF('P&amp;L Matrix'!U9&gt;0,"+$"&amp;TEXT('P&amp;L Matrix'!U9,"#,##0"),IF('P&amp;L Matrix'!U9&lt;0,"-$"&amp;TEXT(ABS('P&amp;L Matrix'!U9),"#,##0"),"$0"))</f>
        <v/>
      </c>
    </row>
    <row r="10" ht="22" customHeight="1">
      <c r="A10" s="15" t="n">
        <v>0.07000000000000001</v>
      </c>
      <c r="B10" s="26">
        <f>'Assumptions'!$B$4*(1-A10)</f>
        <v/>
      </c>
      <c r="C10" s="19">
        <f>TEXT('Option Price Matrix'!C10,"$0.00")&amp;" / "&amp;IF('P&amp;L Matrix'!C10&gt;0,"+$"&amp;TEXT('P&amp;L Matrix'!C10,"#,##0"),IF('P&amp;L Matrix'!C10&lt;0,"-$"&amp;TEXT(ABS('P&amp;L Matrix'!C10),"#,##0"),"$0"))</f>
        <v/>
      </c>
      <c r="D10" s="19">
        <f>TEXT('Option Price Matrix'!D10,"$0.00")&amp;" / "&amp;IF('P&amp;L Matrix'!D10&gt;0,"+$"&amp;TEXT('P&amp;L Matrix'!D10,"#,##0"),IF('P&amp;L Matrix'!D10&lt;0,"-$"&amp;TEXT(ABS('P&amp;L Matrix'!D10),"#,##0"),"$0"))</f>
        <v/>
      </c>
      <c r="E10" s="19">
        <f>TEXT('Option Price Matrix'!E10,"$0.00")&amp;" / "&amp;IF('P&amp;L Matrix'!E10&gt;0,"+$"&amp;TEXT('P&amp;L Matrix'!E10,"#,##0"),IF('P&amp;L Matrix'!E10&lt;0,"-$"&amp;TEXT(ABS('P&amp;L Matrix'!E10),"#,##0"),"$0"))</f>
        <v/>
      </c>
      <c r="F10" s="19">
        <f>TEXT('Option Price Matrix'!F10,"$0.00")&amp;" / "&amp;IF('P&amp;L Matrix'!F10&gt;0,"+$"&amp;TEXT('P&amp;L Matrix'!F10,"#,##0"),IF('P&amp;L Matrix'!F10&lt;0,"-$"&amp;TEXT(ABS('P&amp;L Matrix'!F10),"#,##0"),"$0"))</f>
        <v/>
      </c>
      <c r="G10" s="19">
        <f>TEXT('Option Price Matrix'!G10,"$0.00")&amp;" / "&amp;IF('P&amp;L Matrix'!G10&gt;0,"+$"&amp;TEXT('P&amp;L Matrix'!G10,"#,##0"),IF('P&amp;L Matrix'!G10&lt;0,"-$"&amp;TEXT(ABS('P&amp;L Matrix'!G10),"#,##0"),"$0"))</f>
        <v/>
      </c>
      <c r="H10" s="19">
        <f>TEXT('Option Price Matrix'!H10,"$0.00")&amp;" / "&amp;IF('P&amp;L Matrix'!H10&gt;0,"+$"&amp;TEXT('P&amp;L Matrix'!H10,"#,##0"),IF('P&amp;L Matrix'!H10&lt;0,"-$"&amp;TEXT(ABS('P&amp;L Matrix'!H10),"#,##0"),"$0"))</f>
        <v/>
      </c>
      <c r="I10" s="19">
        <f>TEXT('Option Price Matrix'!I10,"$0.00")&amp;" / "&amp;IF('P&amp;L Matrix'!I10&gt;0,"+$"&amp;TEXT('P&amp;L Matrix'!I10,"#,##0"),IF('P&amp;L Matrix'!I10&lt;0,"-$"&amp;TEXT(ABS('P&amp;L Matrix'!I10),"#,##0"),"$0"))</f>
        <v/>
      </c>
      <c r="J10" s="19">
        <f>TEXT('Option Price Matrix'!J10,"$0.00")&amp;" / "&amp;IF('P&amp;L Matrix'!J10&gt;0,"+$"&amp;TEXT('P&amp;L Matrix'!J10,"#,##0"),IF('P&amp;L Matrix'!J10&lt;0,"-$"&amp;TEXT(ABS('P&amp;L Matrix'!J10),"#,##0"),"$0"))</f>
        <v/>
      </c>
      <c r="K10" s="19">
        <f>TEXT('Option Price Matrix'!K10,"$0.00")&amp;" / "&amp;IF('P&amp;L Matrix'!K10&gt;0,"+$"&amp;TEXT('P&amp;L Matrix'!K10,"#,##0"),IF('P&amp;L Matrix'!K10&lt;0,"-$"&amp;TEXT(ABS('P&amp;L Matrix'!K10),"#,##0"),"$0"))</f>
        <v/>
      </c>
      <c r="L10" s="19">
        <f>TEXT('Option Price Matrix'!L10,"$0.00")&amp;" / "&amp;IF('P&amp;L Matrix'!L10&gt;0,"+$"&amp;TEXT('P&amp;L Matrix'!L10,"#,##0"),IF('P&amp;L Matrix'!L10&lt;0,"-$"&amp;TEXT(ABS('P&amp;L Matrix'!L10),"#,##0"),"$0"))</f>
        <v/>
      </c>
      <c r="M10" s="19">
        <f>TEXT('Option Price Matrix'!M10,"$0.00")&amp;" / "&amp;IF('P&amp;L Matrix'!M10&gt;0,"+$"&amp;TEXT('P&amp;L Matrix'!M10,"#,##0"),IF('P&amp;L Matrix'!M10&lt;0,"-$"&amp;TEXT(ABS('P&amp;L Matrix'!M10),"#,##0"),"$0"))</f>
        <v/>
      </c>
      <c r="N10" s="19">
        <f>TEXT('Option Price Matrix'!N10,"$0.00")&amp;" / "&amp;IF('P&amp;L Matrix'!N10&gt;0,"+$"&amp;TEXT('P&amp;L Matrix'!N10,"#,##0"),IF('P&amp;L Matrix'!N10&lt;0,"-$"&amp;TEXT(ABS('P&amp;L Matrix'!N10),"#,##0"),"$0"))</f>
        <v/>
      </c>
      <c r="O10" s="19">
        <f>TEXT('Option Price Matrix'!O10,"$0.00")&amp;" / "&amp;IF('P&amp;L Matrix'!O10&gt;0,"+$"&amp;TEXT('P&amp;L Matrix'!O10,"#,##0"),IF('P&amp;L Matrix'!O10&lt;0,"-$"&amp;TEXT(ABS('P&amp;L Matrix'!O10),"#,##0"),"$0"))</f>
        <v/>
      </c>
      <c r="P10" s="19">
        <f>TEXT('Option Price Matrix'!P10,"$0.00")&amp;" / "&amp;IF('P&amp;L Matrix'!P10&gt;0,"+$"&amp;TEXT('P&amp;L Matrix'!P10,"#,##0"),IF('P&amp;L Matrix'!P10&lt;0,"-$"&amp;TEXT(ABS('P&amp;L Matrix'!P10),"#,##0"),"$0"))</f>
        <v/>
      </c>
      <c r="Q10" s="19">
        <f>TEXT('Option Price Matrix'!Q10,"$0.00")&amp;" / "&amp;IF('P&amp;L Matrix'!Q10&gt;0,"+$"&amp;TEXT('P&amp;L Matrix'!Q10,"#,##0"),IF('P&amp;L Matrix'!Q10&lt;0,"-$"&amp;TEXT(ABS('P&amp;L Matrix'!Q10),"#,##0"),"$0"))</f>
        <v/>
      </c>
      <c r="R10" s="19">
        <f>TEXT('Option Price Matrix'!R10,"$0.00")&amp;" / "&amp;IF('P&amp;L Matrix'!R10&gt;0,"+$"&amp;TEXT('P&amp;L Matrix'!R10,"#,##0"),IF('P&amp;L Matrix'!R10&lt;0,"-$"&amp;TEXT(ABS('P&amp;L Matrix'!R10),"#,##0"),"$0"))</f>
        <v/>
      </c>
      <c r="S10" s="19">
        <f>TEXT('Option Price Matrix'!S10,"$0.00")&amp;" / "&amp;IF('P&amp;L Matrix'!S10&gt;0,"+$"&amp;TEXT('P&amp;L Matrix'!S10,"#,##0"),IF('P&amp;L Matrix'!S10&lt;0,"-$"&amp;TEXT(ABS('P&amp;L Matrix'!S10),"#,##0"),"$0"))</f>
        <v/>
      </c>
      <c r="T10" s="19">
        <f>TEXT('Option Price Matrix'!T10,"$0.00")&amp;" / "&amp;IF('P&amp;L Matrix'!T10&gt;0,"+$"&amp;TEXT('P&amp;L Matrix'!T10,"#,##0"),IF('P&amp;L Matrix'!T10&lt;0,"-$"&amp;TEXT(ABS('P&amp;L Matrix'!T10),"#,##0"),"$0"))</f>
        <v/>
      </c>
      <c r="U10" s="19">
        <f>TEXT('Option Price Matrix'!U10,"$0.00")&amp;" / "&amp;IF('P&amp;L Matrix'!U10&gt;0,"+$"&amp;TEXT('P&amp;L Matrix'!U10,"#,##0"),IF('P&amp;L Matrix'!U10&lt;0,"-$"&amp;TEXT(ABS('P&amp;L Matrix'!U10),"#,##0"),"$0"))</f>
        <v/>
      </c>
    </row>
    <row r="11" ht="22" customHeight="1">
      <c r="A11" s="15" t="n">
        <v>0.08</v>
      </c>
      <c r="B11" s="26">
        <f>'Assumptions'!$B$4*(1-A11)</f>
        <v/>
      </c>
      <c r="C11" s="19">
        <f>TEXT('Option Price Matrix'!C11,"$0.00")&amp;" / "&amp;IF('P&amp;L Matrix'!C11&gt;0,"+$"&amp;TEXT('P&amp;L Matrix'!C11,"#,##0"),IF('P&amp;L Matrix'!C11&lt;0,"-$"&amp;TEXT(ABS('P&amp;L Matrix'!C11),"#,##0"),"$0"))</f>
        <v/>
      </c>
      <c r="D11" s="19">
        <f>TEXT('Option Price Matrix'!D11,"$0.00")&amp;" / "&amp;IF('P&amp;L Matrix'!D11&gt;0,"+$"&amp;TEXT('P&amp;L Matrix'!D11,"#,##0"),IF('P&amp;L Matrix'!D11&lt;0,"-$"&amp;TEXT(ABS('P&amp;L Matrix'!D11),"#,##0"),"$0"))</f>
        <v/>
      </c>
      <c r="E11" s="19">
        <f>TEXT('Option Price Matrix'!E11,"$0.00")&amp;" / "&amp;IF('P&amp;L Matrix'!E11&gt;0,"+$"&amp;TEXT('P&amp;L Matrix'!E11,"#,##0"),IF('P&amp;L Matrix'!E11&lt;0,"-$"&amp;TEXT(ABS('P&amp;L Matrix'!E11),"#,##0"),"$0"))</f>
        <v/>
      </c>
      <c r="F11" s="19">
        <f>TEXT('Option Price Matrix'!F11,"$0.00")&amp;" / "&amp;IF('P&amp;L Matrix'!F11&gt;0,"+$"&amp;TEXT('P&amp;L Matrix'!F11,"#,##0"),IF('P&amp;L Matrix'!F11&lt;0,"-$"&amp;TEXT(ABS('P&amp;L Matrix'!F11),"#,##0"),"$0"))</f>
        <v/>
      </c>
      <c r="G11" s="19">
        <f>TEXT('Option Price Matrix'!G11,"$0.00")&amp;" / "&amp;IF('P&amp;L Matrix'!G11&gt;0,"+$"&amp;TEXT('P&amp;L Matrix'!G11,"#,##0"),IF('P&amp;L Matrix'!G11&lt;0,"-$"&amp;TEXT(ABS('P&amp;L Matrix'!G11),"#,##0"),"$0"))</f>
        <v/>
      </c>
      <c r="H11" s="19">
        <f>TEXT('Option Price Matrix'!H11,"$0.00")&amp;" / "&amp;IF('P&amp;L Matrix'!H11&gt;0,"+$"&amp;TEXT('P&amp;L Matrix'!H11,"#,##0"),IF('P&amp;L Matrix'!H11&lt;0,"-$"&amp;TEXT(ABS('P&amp;L Matrix'!H11),"#,##0"),"$0"))</f>
        <v/>
      </c>
      <c r="I11" s="19">
        <f>TEXT('Option Price Matrix'!I11,"$0.00")&amp;" / "&amp;IF('P&amp;L Matrix'!I11&gt;0,"+$"&amp;TEXT('P&amp;L Matrix'!I11,"#,##0"),IF('P&amp;L Matrix'!I11&lt;0,"-$"&amp;TEXT(ABS('P&amp;L Matrix'!I11),"#,##0"),"$0"))</f>
        <v/>
      </c>
      <c r="J11" s="19">
        <f>TEXT('Option Price Matrix'!J11,"$0.00")&amp;" / "&amp;IF('P&amp;L Matrix'!J11&gt;0,"+$"&amp;TEXT('P&amp;L Matrix'!J11,"#,##0"),IF('P&amp;L Matrix'!J11&lt;0,"-$"&amp;TEXT(ABS('P&amp;L Matrix'!J11),"#,##0"),"$0"))</f>
        <v/>
      </c>
      <c r="K11" s="19">
        <f>TEXT('Option Price Matrix'!K11,"$0.00")&amp;" / "&amp;IF('P&amp;L Matrix'!K11&gt;0,"+$"&amp;TEXT('P&amp;L Matrix'!K11,"#,##0"),IF('P&amp;L Matrix'!K11&lt;0,"-$"&amp;TEXT(ABS('P&amp;L Matrix'!K11),"#,##0"),"$0"))</f>
        <v/>
      </c>
      <c r="L11" s="19">
        <f>TEXT('Option Price Matrix'!L11,"$0.00")&amp;" / "&amp;IF('P&amp;L Matrix'!L11&gt;0,"+$"&amp;TEXT('P&amp;L Matrix'!L11,"#,##0"),IF('P&amp;L Matrix'!L11&lt;0,"-$"&amp;TEXT(ABS('P&amp;L Matrix'!L11),"#,##0"),"$0"))</f>
        <v/>
      </c>
      <c r="M11" s="19">
        <f>TEXT('Option Price Matrix'!M11,"$0.00")&amp;" / "&amp;IF('P&amp;L Matrix'!M11&gt;0,"+$"&amp;TEXT('P&amp;L Matrix'!M11,"#,##0"),IF('P&amp;L Matrix'!M11&lt;0,"-$"&amp;TEXT(ABS('P&amp;L Matrix'!M11),"#,##0"),"$0"))</f>
        <v/>
      </c>
      <c r="N11" s="19">
        <f>TEXT('Option Price Matrix'!N11,"$0.00")&amp;" / "&amp;IF('P&amp;L Matrix'!N11&gt;0,"+$"&amp;TEXT('P&amp;L Matrix'!N11,"#,##0"),IF('P&amp;L Matrix'!N11&lt;0,"-$"&amp;TEXT(ABS('P&amp;L Matrix'!N11),"#,##0"),"$0"))</f>
        <v/>
      </c>
      <c r="O11" s="19">
        <f>TEXT('Option Price Matrix'!O11,"$0.00")&amp;" / "&amp;IF('P&amp;L Matrix'!O11&gt;0,"+$"&amp;TEXT('P&amp;L Matrix'!O11,"#,##0"),IF('P&amp;L Matrix'!O11&lt;0,"-$"&amp;TEXT(ABS('P&amp;L Matrix'!O11),"#,##0"),"$0"))</f>
        <v/>
      </c>
      <c r="P11" s="19">
        <f>TEXT('Option Price Matrix'!P11,"$0.00")&amp;" / "&amp;IF('P&amp;L Matrix'!P11&gt;0,"+$"&amp;TEXT('P&amp;L Matrix'!P11,"#,##0"),IF('P&amp;L Matrix'!P11&lt;0,"-$"&amp;TEXT(ABS('P&amp;L Matrix'!P11),"#,##0"),"$0"))</f>
        <v/>
      </c>
      <c r="Q11" s="19">
        <f>TEXT('Option Price Matrix'!Q11,"$0.00")&amp;" / "&amp;IF('P&amp;L Matrix'!Q11&gt;0,"+$"&amp;TEXT('P&amp;L Matrix'!Q11,"#,##0"),IF('P&amp;L Matrix'!Q11&lt;0,"-$"&amp;TEXT(ABS('P&amp;L Matrix'!Q11),"#,##0"),"$0"))</f>
        <v/>
      </c>
      <c r="R11" s="19">
        <f>TEXT('Option Price Matrix'!R11,"$0.00")&amp;" / "&amp;IF('P&amp;L Matrix'!R11&gt;0,"+$"&amp;TEXT('P&amp;L Matrix'!R11,"#,##0"),IF('P&amp;L Matrix'!R11&lt;0,"-$"&amp;TEXT(ABS('P&amp;L Matrix'!R11),"#,##0"),"$0"))</f>
        <v/>
      </c>
      <c r="S11" s="19">
        <f>TEXT('Option Price Matrix'!S11,"$0.00")&amp;" / "&amp;IF('P&amp;L Matrix'!S11&gt;0,"+$"&amp;TEXT('P&amp;L Matrix'!S11,"#,##0"),IF('P&amp;L Matrix'!S11&lt;0,"-$"&amp;TEXT(ABS('P&amp;L Matrix'!S11),"#,##0"),"$0"))</f>
        <v/>
      </c>
      <c r="T11" s="19">
        <f>TEXT('Option Price Matrix'!T11,"$0.00")&amp;" / "&amp;IF('P&amp;L Matrix'!T11&gt;0,"+$"&amp;TEXT('P&amp;L Matrix'!T11,"#,##0"),IF('P&amp;L Matrix'!T11&lt;0,"-$"&amp;TEXT(ABS('P&amp;L Matrix'!T11),"#,##0"),"$0"))</f>
        <v/>
      </c>
      <c r="U11" s="19">
        <f>TEXT('Option Price Matrix'!U11,"$0.00")&amp;" / "&amp;IF('P&amp;L Matrix'!U11&gt;0,"+$"&amp;TEXT('P&amp;L Matrix'!U11,"#,##0"),IF('P&amp;L Matrix'!U11&lt;0,"-$"&amp;TEXT(ABS('P&amp;L Matrix'!U11),"#,##0"),"$0"))</f>
        <v/>
      </c>
    </row>
    <row r="12" ht="22" customHeight="1">
      <c r="A12" s="15" t="n">
        <v>0.09</v>
      </c>
      <c r="B12" s="26">
        <f>'Assumptions'!$B$4*(1-A12)</f>
        <v/>
      </c>
      <c r="C12" s="19">
        <f>TEXT('Option Price Matrix'!C12,"$0.00")&amp;" / "&amp;IF('P&amp;L Matrix'!C12&gt;0,"+$"&amp;TEXT('P&amp;L Matrix'!C12,"#,##0"),IF('P&amp;L Matrix'!C12&lt;0,"-$"&amp;TEXT(ABS('P&amp;L Matrix'!C12),"#,##0"),"$0"))</f>
        <v/>
      </c>
      <c r="D12" s="19">
        <f>TEXT('Option Price Matrix'!D12,"$0.00")&amp;" / "&amp;IF('P&amp;L Matrix'!D12&gt;0,"+$"&amp;TEXT('P&amp;L Matrix'!D12,"#,##0"),IF('P&amp;L Matrix'!D12&lt;0,"-$"&amp;TEXT(ABS('P&amp;L Matrix'!D12),"#,##0"),"$0"))</f>
        <v/>
      </c>
      <c r="E12" s="19">
        <f>TEXT('Option Price Matrix'!E12,"$0.00")&amp;" / "&amp;IF('P&amp;L Matrix'!E12&gt;0,"+$"&amp;TEXT('P&amp;L Matrix'!E12,"#,##0"),IF('P&amp;L Matrix'!E12&lt;0,"-$"&amp;TEXT(ABS('P&amp;L Matrix'!E12),"#,##0"),"$0"))</f>
        <v/>
      </c>
      <c r="F12" s="19">
        <f>TEXT('Option Price Matrix'!F12,"$0.00")&amp;" / "&amp;IF('P&amp;L Matrix'!F12&gt;0,"+$"&amp;TEXT('P&amp;L Matrix'!F12,"#,##0"),IF('P&amp;L Matrix'!F12&lt;0,"-$"&amp;TEXT(ABS('P&amp;L Matrix'!F12),"#,##0"),"$0"))</f>
        <v/>
      </c>
      <c r="G12" s="19">
        <f>TEXT('Option Price Matrix'!G12,"$0.00")&amp;" / "&amp;IF('P&amp;L Matrix'!G12&gt;0,"+$"&amp;TEXT('P&amp;L Matrix'!G12,"#,##0"),IF('P&amp;L Matrix'!G12&lt;0,"-$"&amp;TEXT(ABS('P&amp;L Matrix'!G12),"#,##0"),"$0"))</f>
        <v/>
      </c>
      <c r="H12" s="19">
        <f>TEXT('Option Price Matrix'!H12,"$0.00")&amp;" / "&amp;IF('P&amp;L Matrix'!H12&gt;0,"+$"&amp;TEXT('P&amp;L Matrix'!H12,"#,##0"),IF('P&amp;L Matrix'!H12&lt;0,"-$"&amp;TEXT(ABS('P&amp;L Matrix'!H12),"#,##0"),"$0"))</f>
        <v/>
      </c>
      <c r="I12" s="19">
        <f>TEXT('Option Price Matrix'!I12,"$0.00")&amp;" / "&amp;IF('P&amp;L Matrix'!I12&gt;0,"+$"&amp;TEXT('P&amp;L Matrix'!I12,"#,##0"),IF('P&amp;L Matrix'!I12&lt;0,"-$"&amp;TEXT(ABS('P&amp;L Matrix'!I12),"#,##0"),"$0"))</f>
        <v/>
      </c>
      <c r="J12" s="19">
        <f>TEXT('Option Price Matrix'!J12,"$0.00")&amp;" / "&amp;IF('P&amp;L Matrix'!J12&gt;0,"+$"&amp;TEXT('P&amp;L Matrix'!J12,"#,##0"),IF('P&amp;L Matrix'!J12&lt;0,"-$"&amp;TEXT(ABS('P&amp;L Matrix'!J12),"#,##0"),"$0"))</f>
        <v/>
      </c>
      <c r="K12" s="19">
        <f>TEXT('Option Price Matrix'!K12,"$0.00")&amp;" / "&amp;IF('P&amp;L Matrix'!K12&gt;0,"+$"&amp;TEXT('P&amp;L Matrix'!K12,"#,##0"),IF('P&amp;L Matrix'!K12&lt;0,"-$"&amp;TEXT(ABS('P&amp;L Matrix'!K12),"#,##0"),"$0"))</f>
        <v/>
      </c>
      <c r="L12" s="19">
        <f>TEXT('Option Price Matrix'!L12,"$0.00")&amp;" / "&amp;IF('P&amp;L Matrix'!L12&gt;0,"+$"&amp;TEXT('P&amp;L Matrix'!L12,"#,##0"),IF('P&amp;L Matrix'!L12&lt;0,"-$"&amp;TEXT(ABS('P&amp;L Matrix'!L12),"#,##0"),"$0"))</f>
        <v/>
      </c>
      <c r="M12" s="19">
        <f>TEXT('Option Price Matrix'!M12,"$0.00")&amp;" / "&amp;IF('P&amp;L Matrix'!M12&gt;0,"+$"&amp;TEXT('P&amp;L Matrix'!M12,"#,##0"),IF('P&amp;L Matrix'!M12&lt;0,"-$"&amp;TEXT(ABS('P&amp;L Matrix'!M12),"#,##0"),"$0"))</f>
        <v/>
      </c>
      <c r="N12" s="19">
        <f>TEXT('Option Price Matrix'!N12,"$0.00")&amp;" / "&amp;IF('P&amp;L Matrix'!N12&gt;0,"+$"&amp;TEXT('P&amp;L Matrix'!N12,"#,##0"),IF('P&amp;L Matrix'!N12&lt;0,"-$"&amp;TEXT(ABS('P&amp;L Matrix'!N12),"#,##0"),"$0"))</f>
        <v/>
      </c>
      <c r="O12" s="19">
        <f>TEXT('Option Price Matrix'!O12,"$0.00")&amp;" / "&amp;IF('P&amp;L Matrix'!O12&gt;0,"+$"&amp;TEXT('P&amp;L Matrix'!O12,"#,##0"),IF('P&amp;L Matrix'!O12&lt;0,"-$"&amp;TEXT(ABS('P&amp;L Matrix'!O12),"#,##0"),"$0"))</f>
        <v/>
      </c>
      <c r="P12" s="19">
        <f>TEXT('Option Price Matrix'!P12,"$0.00")&amp;" / "&amp;IF('P&amp;L Matrix'!P12&gt;0,"+$"&amp;TEXT('P&amp;L Matrix'!P12,"#,##0"),IF('P&amp;L Matrix'!P12&lt;0,"-$"&amp;TEXT(ABS('P&amp;L Matrix'!P12),"#,##0"),"$0"))</f>
        <v/>
      </c>
      <c r="Q12" s="19">
        <f>TEXT('Option Price Matrix'!Q12,"$0.00")&amp;" / "&amp;IF('P&amp;L Matrix'!Q12&gt;0,"+$"&amp;TEXT('P&amp;L Matrix'!Q12,"#,##0"),IF('P&amp;L Matrix'!Q12&lt;0,"-$"&amp;TEXT(ABS('P&amp;L Matrix'!Q12),"#,##0"),"$0"))</f>
        <v/>
      </c>
      <c r="R12" s="19">
        <f>TEXT('Option Price Matrix'!R12,"$0.00")&amp;" / "&amp;IF('P&amp;L Matrix'!R12&gt;0,"+$"&amp;TEXT('P&amp;L Matrix'!R12,"#,##0"),IF('P&amp;L Matrix'!R12&lt;0,"-$"&amp;TEXT(ABS('P&amp;L Matrix'!R12),"#,##0"),"$0"))</f>
        <v/>
      </c>
      <c r="S12" s="19">
        <f>TEXT('Option Price Matrix'!S12,"$0.00")&amp;" / "&amp;IF('P&amp;L Matrix'!S12&gt;0,"+$"&amp;TEXT('P&amp;L Matrix'!S12,"#,##0"),IF('P&amp;L Matrix'!S12&lt;0,"-$"&amp;TEXT(ABS('P&amp;L Matrix'!S12),"#,##0"),"$0"))</f>
        <v/>
      </c>
      <c r="T12" s="19">
        <f>TEXT('Option Price Matrix'!T12,"$0.00")&amp;" / "&amp;IF('P&amp;L Matrix'!T12&gt;0,"+$"&amp;TEXT('P&amp;L Matrix'!T12,"#,##0"),IF('P&amp;L Matrix'!T12&lt;0,"-$"&amp;TEXT(ABS('P&amp;L Matrix'!T12),"#,##0"),"$0"))</f>
        <v/>
      </c>
      <c r="U12" s="19">
        <f>TEXT('Option Price Matrix'!U12,"$0.00")&amp;" / "&amp;IF('P&amp;L Matrix'!U12&gt;0,"+$"&amp;TEXT('P&amp;L Matrix'!U12,"#,##0"),IF('P&amp;L Matrix'!U12&lt;0,"-$"&amp;TEXT(ABS('P&amp;L Matrix'!U12),"#,##0"),"$0"))</f>
        <v/>
      </c>
    </row>
    <row r="13" ht="22" customHeight="1">
      <c r="A13" s="15" t="n">
        <v>0.1</v>
      </c>
      <c r="B13" s="26">
        <f>'Assumptions'!$B$4*(1-A13)</f>
        <v/>
      </c>
      <c r="C13" s="19">
        <f>TEXT('Option Price Matrix'!C13,"$0.00")&amp;" / "&amp;IF('P&amp;L Matrix'!C13&gt;0,"+$"&amp;TEXT('P&amp;L Matrix'!C13,"#,##0"),IF('P&amp;L Matrix'!C13&lt;0,"-$"&amp;TEXT(ABS('P&amp;L Matrix'!C13),"#,##0"),"$0"))</f>
        <v/>
      </c>
      <c r="D13" s="19">
        <f>TEXT('Option Price Matrix'!D13,"$0.00")&amp;" / "&amp;IF('P&amp;L Matrix'!D13&gt;0,"+$"&amp;TEXT('P&amp;L Matrix'!D13,"#,##0"),IF('P&amp;L Matrix'!D13&lt;0,"-$"&amp;TEXT(ABS('P&amp;L Matrix'!D13),"#,##0"),"$0"))</f>
        <v/>
      </c>
      <c r="E13" s="19">
        <f>TEXT('Option Price Matrix'!E13,"$0.00")&amp;" / "&amp;IF('P&amp;L Matrix'!E13&gt;0,"+$"&amp;TEXT('P&amp;L Matrix'!E13,"#,##0"),IF('P&amp;L Matrix'!E13&lt;0,"-$"&amp;TEXT(ABS('P&amp;L Matrix'!E13),"#,##0"),"$0"))</f>
        <v/>
      </c>
      <c r="F13" s="19">
        <f>TEXT('Option Price Matrix'!F13,"$0.00")&amp;" / "&amp;IF('P&amp;L Matrix'!F13&gt;0,"+$"&amp;TEXT('P&amp;L Matrix'!F13,"#,##0"),IF('P&amp;L Matrix'!F13&lt;0,"-$"&amp;TEXT(ABS('P&amp;L Matrix'!F13),"#,##0"),"$0"))</f>
        <v/>
      </c>
      <c r="G13" s="19">
        <f>TEXT('Option Price Matrix'!G13,"$0.00")&amp;" / "&amp;IF('P&amp;L Matrix'!G13&gt;0,"+$"&amp;TEXT('P&amp;L Matrix'!G13,"#,##0"),IF('P&amp;L Matrix'!G13&lt;0,"-$"&amp;TEXT(ABS('P&amp;L Matrix'!G13),"#,##0"),"$0"))</f>
        <v/>
      </c>
      <c r="H13" s="19">
        <f>TEXT('Option Price Matrix'!H13,"$0.00")&amp;" / "&amp;IF('P&amp;L Matrix'!H13&gt;0,"+$"&amp;TEXT('P&amp;L Matrix'!H13,"#,##0"),IF('P&amp;L Matrix'!H13&lt;0,"-$"&amp;TEXT(ABS('P&amp;L Matrix'!H13),"#,##0"),"$0"))</f>
        <v/>
      </c>
      <c r="I13" s="19">
        <f>TEXT('Option Price Matrix'!I13,"$0.00")&amp;" / "&amp;IF('P&amp;L Matrix'!I13&gt;0,"+$"&amp;TEXT('P&amp;L Matrix'!I13,"#,##0"),IF('P&amp;L Matrix'!I13&lt;0,"-$"&amp;TEXT(ABS('P&amp;L Matrix'!I13),"#,##0"),"$0"))</f>
        <v/>
      </c>
      <c r="J13" s="19">
        <f>TEXT('Option Price Matrix'!J13,"$0.00")&amp;" / "&amp;IF('P&amp;L Matrix'!J13&gt;0,"+$"&amp;TEXT('P&amp;L Matrix'!J13,"#,##0"),IF('P&amp;L Matrix'!J13&lt;0,"-$"&amp;TEXT(ABS('P&amp;L Matrix'!J13),"#,##0"),"$0"))</f>
        <v/>
      </c>
      <c r="K13" s="19">
        <f>TEXT('Option Price Matrix'!K13,"$0.00")&amp;" / "&amp;IF('P&amp;L Matrix'!K13&gt;0,"+$"&amp;TEXT('P&amp;L Matrix'!K13,"#,##0"),IF('P&amp;L Matrix'!K13&lt;0,"-$"&amp;TEXT(ABS('P&amp;L Matrix'!K13),"#,##0"),"$0"))</f>
        <v/>
      </c>
      <c r="L13" s="19">
        <f>TEXT('Option Price Matrix'!L13,"$0.00")&amp;" / "&amp;IF('P&amp;L Matrix'!L13&gt;0,"+$"&amp;TEXT('P&amp;L Matrix'!L13,"#,##0"),IF('P&amp;L Matrix'!L13&lt;0,"-$"&amp;TEXT(ABS('P&amp;L Matrix'!L13),"#,##0"),"$0"))</f>
        <v/>
      </c>
      <c r="M13" s="19">
        <f>TEXT('Option Price Matrix'!M13,"$0.00")&amp;" / "&amp;IF('P&amp;L Matrix'!M13&gt;0,"+$"&amp;TEXT('P&amp;L Matrix'!M13,"#,##0"),IF('P&amp;L Matrix'!M13&lt;0,"-$"&amp;TEXT(ABS('P&amp;L Matrix'!M13),"#,##0"),"$0"))</f>
        <v/>
      </c>
      <c r="N13" s="19">
        <f>TEXT('Option Price Matrix'!N13,"$0.00")&amp;" / "&amp;IF('P&amp;L Matrix'!N13&gt;0,"+$"&amp;TEXT('P&amp;L Matrix'!N13,"#,##0"),IF('P&amp;L Matrix'!N13&lt;0,"-$"&amp;TEXT(ABS('P&amp;L Matrix'!N13),"#,##0"),"$0"))</f>
        <v/>
      </c>
      <c r="O13" s="19">
        <f>TEXT('Option Price Matrix'!O13,"$0.00")&amp;" / "&amp;IF('P&amp;L Matrix'!O13&gt;0,"+$"&amp;TEXT('P&amp;L Matrix'!O13,"#,##0"),IF('P&amp;L Matrix'!O13&lt;0,"-$"&amp;TEXT(ABS('P&amp;L Matrix'!O13),"#,##0"),"$0"))</f>
        <v/>
      </c>
      <c r="P13" s="19">
        <f>TEXT('Option Price Matrix'!P13,"$0.00")&amp;" / "&amp;IF('P&amp;L Matrix'!P13&gt;0,"+$"&amp;TEXT('P&amp;L Matrix'!P13,"#,##0"),IF('P&amp;L Matrix'!P13&lt;0,"-$"&amp;TEXT(ABS('P&amp;L Matrix'!P13),"#,##0"),"$0"))</f>
        <v/>
      </c>
      <c r="Q13" s="19">
        <f>TEXT('Option Price Matrix'!Q13,"$0.00")&amp;" / "&amp;IF('P&amp;L Matrix'!Q13&gt;0,"+$"&amp;TEXT('P&amp;L Matrix'!Q13,"#,##0"),IF('P&amp;L Matrix'!Q13&lt;0,"-$"&amp;TEXT(ABS('P&amp;L Matrix'!Q13),"#,##0"),"$0"))</f>
        <v/>
      </c>
      <c r="R13" s="19">
        <f>TEXT('Option Price Matrix'!R13,"$0.00")&amp;" / "&amp;IF('P&amp;L Matrix'!R13&gt;0,"+$"&amp;TEXT('P&amp;L Matrix'!R13,"#,##0"),IF('P&amp;L Matrix'!R13&lt;0,"-$"&amp;TEXT(ABS('P&amp;L Matrix'!R13),"#,##0"),"$0"))</f>
        <v/>
      </c>
      <c r="S13" s="19">
        <f>TEXT('Option Price Matrix'!S13,"$0.00")&amp;" / "&amp;IF('P&amp;L Matrix'!S13&gt;0,"+$"&amp;TEXT('P&amp;L Matrix'!S13,"#,##0"),IF('P&amp;L Matrix'!S13&lt;0,"-$"&amp;TEXT(ABS('P&amp;L Matrix'!S13),"#,##0"),"$0"))</f>
        <v/>
      </c>
      <c r="T13" s="19">
        <f>TEXT('Option Price Matrix'!T13,"$0.00")&amp;" / "&amp;IF('P&amp;L Matrix'!T13&gt;0,"+$"&amp;TEXT('P&amp;L Matrix'!T13,"#,##0"),IF('P&amp;L Matrix'!T13&lt;0,"-$"&amp;TEXT(ABS('P&amp;L Matrix'!T13),"#,##0"),"$0"))</f>
        <v/>
      </c>
      <c r="U13" s="19">
        <f>TEXT('Option Price Matrix'!U13,"$0.00")&amp;" / "&amp;IF('P&amp;L Matrix'!U13&gt;0,"+$"&amp;TEXT('P&amp;L Matrix'!U13,"#,##0"),IF('P&amp;L Matrix'!U13&lt;0,"-$"&amp;TEXT(ABS('P&amp;L Matrix'!U13),"#,##0"),"$0"))</f>
        <v/>
      </c>
    </row>
    <row r="16">
      <c r="A16" s="9" t="inlineStr">
        <is>
          <t>Important</t>
        </is>
      </c>
    </row>
    <row r="17">
      <c r="A17" s="17" t="inlineStr">
        <is>
          <t>Scenario estimates only. Actual option prices may differ due to IV changes, early-exercise value, bid/ask spreads, and intraday market conditions.</t>
        </is>
      </c>
    </row>
    <row r="18"/>
    <row r="24" hidden="1">
      <c r="C24" t="n">
        <v>18</v>
      </c>
      <c r="D24" t="n">
        <v>17</v>
      </c>
      <c r="E24" t="n">
        <v>16</v>
      </c>
      <c r="F24" t="n">
        <v>15</v>
      </c>
      <c r="G24" t="n">
        <v>14</v>
      </c>
      <c r="H24" t="n">
        <v>13</v>
      </c>
      <c r="I24" t="n">
        <v>12</v>
      </c>
      <c r="J24" t="n">
        <v>11</v>
      </c>
      <c r="K24" t="n">
        <v>10</v>
      </c>
      <c r="L24" t="n">
        <v>9</v>
      </c>
      <c r="M24" t="n">
        <v>8</v>
      </c>
      <c r="N24" t="n">
        <v>7</v>
      </c>
      <c r="O24" t="n">
        <v>6</v>
      </c>
      <c r="P24" t="n">
        <v>5</v>
      </c>
      <c r="Q24" t="n">
        <v>4</v>
      </c>
      <c r="R24" t="n">
        <v>3</v>
      </c>
      <c r="S24" t="n">
        <v>2</v>
      </c>
      <c r="T24" t="n">
        <v>1</v>
      </c>
      <c r="U24" t="n">
        <v>0</v>
      </c>
    </row>
  </sheetData>
  <mergeCells count="4">
    <mergeCell ref="A1:U1"/>
    <mergeCell ref="A16:U16"/>
    <mergeCell ref="A17:U18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2026-08-10T14:31:07Z</dcterms:created>
  <dcterms:modified xmlns:dcterms="http://purl.org/dc/terms/" xmlns:xsi="http://www.w3.org/2001/XMLSchema-instance" xsi:type="dcterms:W3CDTF">2026-08-10T14:35:43Z</dcterms:modified>
</cp:coreProperties>
</file>